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VanOmmeren\Desktop\lighthouse\"/>
    </mc:Choice>
  </mc:AlternateContent>
  <xr:revisionPtr revIDLastSave="0" documentId="13_ncr:1_{939D46BD-FA57-4EB1-8BE7-C64C55A2C7CC}" xr6:coauthVersionLast="47" xr6:coauthVersionMax="47" xr10:uidLastSave="{00000000-0000-0000-0000-000000000000}"/>
  <bookViews>
    <workbookView xWindow="-110" yWindow="-110" windowWidth="19420" windowHeight="11500" xr2:uid="{9120764F-BE58-4278-B5DD-0D85350B9E63}"/>
  </bookViews>
  <sheets>
    <sheet name="Inputs" sheetId="1" r:id="rId1"/>
    <sheet name="Elasticity_Estimates" sheetId="4" r:id="rId2"/>
    <sheet name="Upstream_Incentives" sheetId="2" r:id="rId3"/>
    <sheet name="Downstream_Incentive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4" l="1"/>
  <c r="E6" i="1"/>
  <c r="E8" i="1"/>
  <c r="D4" i="3" s="1"/>
  <c r="E4" i="3" s="1"/>
  <c r="E5" i="1"/>
  <c r="E7" i="1" s="1"/>
  <c r="D9" i="2" l="1"/>
  <c r="D10" i="2" s="1"/>
  <c r="D11" i="2" s="1"/>
  <c r="F4" i="4"/>
  <c r="D4" i="2"/>
  <c r="D5" i="2" s="1"/>
  <c r="E5" i="2" s="1"/>
  <c r="D8" i="3"/>
  <c r="E4" i="2" l="1"/>
  <c r="E8" i="3"/>
  <c r="D12" i="3"/>
  <c r="E12" i="3" s="1"/>
  <c r="E9" i="2"/>
  <c r="E10" i="2"/>
  <c r="E11"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tc={3CDD1AFD-0ED0-4DFA-9C38-C7C836BBC766}</author>
  </authors>
  <commentList>
    <comment ref="D13" authorId="0" shapeId="0" xr:uid="{3CDD1AFD-0ED0-4DFA-9C38-C7C836BBC766}">
      <text>
        <t>[Threaded comment]
Your version of Excel allows you to read this threaded comment; however, any edits to it will get removed if the file is opened in a newer version of Excel. Learn more: https://go.microsoft.com/fwlink/?linkid=870924
Comment:
    The paper has a mistake in the formula, writing (P_R - C_R) = P_R instead of (P_R - C_R) / P_R</t>
      </text>
    </comment>
  </commentList>
</comments>
</file>

<file path=xl/sharedStrings.xml><?xml version="1.0" encoding="utf-8"?>
<sst xmlns="http://schemas.openxmlformats.org/spreadsheetml/2006/main" count="138" uniqueCount="107">
  <si>
    <t>Variable</t>
  </si>
  <si>
    <t>Value</t>
  </si>
  <si>
    <t>Description</t>
  </si>
  <si>
    <r>
      <t>P</t>
    </r>
    <r>
      <rPr>
        <vertAlign val="subscript"/>
        <sz val="11"/>
        <color rgb="FF1F1F1F"/>
        <rFont val="Times New Roman"/>
        <family val="1"/>
      </rPr>
      <t>D</t>
    </r>
  </si>
  <si>
    <r>
      <t>P</t>
    </r>
    <r>
      <rPr>
        <vertAlign val="subscript"/>
        <sz val="11"/>
        <color rgb="FF1F1F1F"/>
        <rFont val="Times New Roman"/>
        <family val="1"/>
      </rPr>
      <t>R</t>
    </r>
  </si>
  <si>
    <r>
      <t>W</t>
    </r>
    <r>
      <rPr>
        <vertAlign val="subscript"/>
        <sz val="11"/>
        <color rgb="FF1F1F1F"/>
        <rFont val="Times New Roman"/>
        <family val="1"/>
      </rPr>
      <t>D</t>
    </r>
  </si>
  <si>
    <r>
      <t>W</t>
    </r>
    <r>
      <rPr>
        <vertAlign val="subscript"/>
        <sz val="11"/>
        <color rgb="FF1F1F1F"/>
        <rFont val="Times New Roman"/>
        <family val="1"/>
      </rPr>
      <t>R</t>
    </r>
  </si>
  <si>
    <r>
      <t>W</t>
    </r>
    <r>
      <rPr>
        <vertAlign val="subscript"/>
        <sz val="11"/>
        <color rgb="FF1F1F1F"/>
        <rFont val="Times New Roman"/>
        <family val="1"/>
      </rPr>
      <t>U</t>
    </r>
  </si>
  <si>
    <r>
      <t>M</t>
    </r>
    <r>
      <rPr>
        <vertAlign val="subscript"/>
        <sz val="11"/>
        <color rgb="FF1F1F1F"/>
        <rFont val="Times New Roman"/>
        <family val="1"/>
      </rPr>
      <t>D</t>
    </r>
  </si>
  <si>
    <r>
      <t>M</t>
    </r>
    <r>
      <rPr>
        <vertAlign val="subscript"/>
        <sz val="11"/>
        <color rgb="FF1F1F1F"/>
        <rFont val="Times New Roman"/>
        <family val="1"/>
      </rPr>
      <t>R</t>
    </r>
  </si>
  <si>
    <t>Variable Name</t>
  </si>
  <si>
    <t>Downstream Price</t>
  </si>
  <si>
    <t>Upstream Price</t>
  </si>
  <si>
    <t>Upstream Average Price</t>
  </si>
  <si>
    <t>Downstream Margin</t>
  </si>
  <si>
    <r>
      <t>M</t>
    </r>
    <r>
      <rPr>
        <vertAlign val="subscript"/>
        <sz val="11"/>
        <color rgb="FF1F1F1F"/>
        <rFont val="Times New Roman"/>
        <family val="1"/>
      </rPr>
      <t>U</t>
    </r>
  </si>
  <si>
    <t>Average Upstream Margin</t>
  </si>
  <si>
    <r>
      <t>M</t>
    </r>
    <r>
      <rPr>
        <vertAlign val="subscript"/>
        <sz val="11"/>
        <color rgb="FF1F1F1F"/>
        <rFont val="Times New Roman"/>
        <family val="1"/>
      </rPr>
      <t>UD</t>
    </r>
  </si>
  <si>
    <t>Upstream Margin</t>
  </si>
  <si>
    <t>Firm U’s (the upstream merging firm) variable profit margin on input sales to Firm D (the downstream merging firm).</t>
  </si>
  <si>
    <r>
      <t>Firm U’s  (the upstream merging firm) average variable profit margin (i.e., its average price charged to all firms except Firm D (the downstream merging firm) less its variable cost, W</t>
    </r>
    <r>
      <rPr>
        <vertAlign val="subscript"/>
        <sz val="11"/>
        <color rgb="FF1F1F1F"/>
        <rFont val="Times New Roman"/>
        <family val="1"/>
      </rPr>
      <t>U</t>
    </r>
    <r>
      <rPr>
        <sz val="11"/>
        <color rgb="FF1F1F1F"/>
        <rFont val="Times New Roman"/>
        <family val="1"/>
      </rPr>
      <t xml:space="preserve"> − C</t>
    </r>
    <r>
      <rPr>
        <vertAlign val="subscript"/>
        <sz val="11"/>
        <color rgb="FF1F1F1F"/>
        <rFont val="Times New Roman"/>
        <family val="1"/>
      </rPr>
      <t>U</t>
    </r>
    <r>
      <rPr>
        <sz val="11"/>
        <color rgb="FF1F1F1F"/>
        <rFont val="Times New Roman"/>
        <family val="1"/>
      </rPr>
      <t>) expressed as a percentage of its average price. That is, M</t>
    </r>
    <r>
      <rPr>
        <vertAlign val="subscript"/>
        <sz val="11"/>
        <color rgb="FF1F1F1F"/>
        <rFont val="Times New Roman"/>
        <family val="1"/>
      </rPr>
      <t>U</t>
    </r>
    <r>
      <rPr>
        <sz val="11"/>
        <color rgb="FF1F1F1F"/>
        <rFont val="Times New Roman"/>
        <family val="1"/>
      </rPr>
      <t xml:space="preserve"> = (W</t>
    </r>
    <r>
      <rPr>
        <vertAlign val="subscript"/>
        <sz val="11"/>
        <color rgb="FF1F1F1F"/>
        <rFont val="Times New Roman"/>
        <family val="1"/>
      </rPr>
      <t>U</t>
    </r>
    <r>
      <rPr>
        <sz val="11"/>
        <color rgb="FF1F1F1F"/>
        <rFont val="Times New Roman"/>
        <family val="1"/>
      </rPr>
      <t xml:space="preserve"> − C</t>
    </r>
    <r>
      <rPr>
        <vertAlign val="subscript"/>
        <sz val="11"/>
        <color rgb="FF1F1F1F"/>
        <rFont val="Times New Roman"/>
        <family val="1"/>
      </rPr>
      <t>U</t>
    </r>
    <r>
      <rPr>
        <sz val="11"/>
        <color rgb="FF1F1F1F"/>
        <rFont val="Times New Roman"/>
        <family val="1"/>
      </rPr>
      <t>) / W</t>
    </r>
    <r>
      <rPr>
        <vertAlign val="subscript"/>
        <sz val="11"/>
        <color rgb="FF1F1F1F"/>
        <rFont val="Times New Roman"/>
        <family val="1"/>
      </rPr>
      <t>U</t>
    </r>
    <r>
      <rPr>
        <sz val="11"/>
        <color rgb="FF1F1F1F"/>
        <rFont val="Times New Roman"/>
        <family val="1"/>
      </rPr>
      <t>.</t>
    </r>
  </si>
  <si>
    <r>
      <t>Firm D’s  (the downstream merging firm) variable profit margin (i.e., its price less its variable cost, P</t>
    </r>
    <r>
      <rPr>
        <vertAlign val="subscript"/>
        <sz val="11"/>
        <color rgb="FF1F1F1F"/>
        <rFont val="Times New Roman"/>
        <family val="1"/>
      </rPr>
      <t>D</t>
    </r>
    <r>
      <rPr>
        <sz val="11"/>
        <color rgb="FF1F1F1F"/>
        <rFont val="Times New Roman"/>
        <family val="1"/>
      </rPr>
      <t xml:space="preserve"> − C</t>
    </r>
    <r>
      <rPr>
        <vertAlign val="subscript"/>
        <sz val="11"/>
        <color rgb="FF1F1F1F"/>
        <rFont val="Times New Roman"/>
        <family val="1"/>
      </rPr>
      <t>D</t>
    </r>
    <r>
      <rPr>
        <sz val="11"/>
        <color rgb="FF1F1F1F"/>
        <rFont val="Times New Roman"/>
        <family val="1"/>
      </rPr>
      <t>) expressed as a percentage of its price. That is, M</t>
    </r>
    <r>
      <rPr>
        <vertAlign val="subscript"/>
        <sz val="11"/>
        <color rgb="FF1F1F1F"/>
        <rFont val="Times New Roman"/>
        <family val="1"/>
      </rPr>
      <t>D</t>
    </r>
    <r>
      <rPr>
        <sz val="11"/>
        <color rgb="FF1F1F1F"/>
        <rFont val="Times New Roman"/>
        <family val="1"/>
      </rPr>
      <t xml:space="preserve"> = (P</t>
    </r>
    <r>
      <rPr>
        <vertAlign val="subscript"/>
        <sz val="11"/>
        <color rgb="FF1F1F1F"/>
        <rFont val="Times New Roman"/>
        <family val="1"/>
      </rPr>
      <t>D</t>
    </r>
    <r>
      <rPr>
        <sz val="11"/>
        <color rgb="FF1F1F1F"/>
        <rFont val="Times New Roman"/>
        <family val="1"/>
      </rPr>
      <t xml:space="preserve"> − C</t>
    </r>
    <r>
      <rPr>
        <vertAlign val="subscript"/>
        <sz val="11"/>
        <color rgb="FF1F1F1F"/>
        <rFont val="Times New Roman"/>
        <family val="1"/>
      </rPr>
      <t>D</t>
    </r>
    <r>
      <rPr>
        <sz val="11"/>
        <color rgb="FF1F1F1F"/>
        <rFont val="Times New Roman"/>
        <family val="1"/>
      </rPr>
      <t>) / P</t>
    </r>
    <r>
      <rPr>
        <vertAlign val="subscript"/>
        <sz val="11"/>
        <color rgb="FF1F1F1F"/>
        <rFont val="Times New Roman"/>
        <family val="1"/>
      </rPr>
      <t>D</t>
    </r>
    <r>
      <rPr>
        <sz val="11"/>
        <color rgb="FF1F1F1F"/>
        <rFont val="Times New Roman"/>
        <family val="1"/>
      </rPr>
      <t>.</t>
    </r>
  </si>
  <si>
    <t>Input prices charged by Firm U (the upstream merging firm) to Firm R (the downstream rival).</t>
  </si>
  <si>
    <t>Input prices charged by Firm U (the upstream merging firm) to Firm D (the downstream merging firm).</t>
  </si>
  <si>
    <t>Output prices charged by Firm R (the downstream rival).</t>
  </si>
  <si>
    <t>Output prices charged by Firm D (the downstream merging firm).</t>
  </si>
  <si>
    <r>
      <t>DR</t>
    </r>
    <r>
      <rPr>
        <vertAlign val="subscript"/>
        <sz val="11"/>
        <color rgb="FF1F1F1F"/>
        <rFont val="Times New Roman"/>
        <family val="1"/>
      </rPr>
      <t>RD</t>
    </r>
  </si>
  <si>
    <t>Diversion Ratio</t>
  </si>
  <si>
    <t>The fraction of Firm R’s (the downstream rival) sales lost (when Firm R (the downstream rival) raises its price) that are gained by Firm D (the downstream merging firm).</t>
  </si>
  <si>
    <r>
      <t>DR</t>
    </r>
    <r>
      <rPr>
        <vertAlign val="subscript"/>
        <sz val="11"/>
        <color rgb="FF1F1F1F"/>
        <rFont val="Times New Roman"/>
        <family val="1"/>
      </rPr>
      <t>DU</t>
    </r>
  </si>
  <si>
    <r>
      <t>DR</t>
    </r>
    <r>
      <rPr>
        <vertAlign val="subscript"/>
        <sz val="11"/>
        <color rgb="FF1F1F1F"/>
        <rFont val="Times New Roman"/>
        <family val="1"/>
      </rPr>
      <t>UD</t>
    </r>
  </si>
  <si>
    <t>The fraction of Firm U’s (the upstream merging firm) sales lost (when Firm U (the upstream merging firm) raises its price) that are gained by Firm D (the downstream merging firm).</t>
  </si>
  <si>
    <r>
      <t>PTR</t>
    </r>
    <r>
      <rPr>
        <vertAlign val="subscript"/>
        <sz val="11"/>
        <color rgb="FF1F1F1F"/>
        <rFont val="Times New Roman"/>
        <family val="1"/>
      </rPr>
      <t>U</t>
    </r>
  </si>
  <si>
    <r>
      <t>PTR</t>
    </r>
    <r>
      <rPr>
        <vertAlign val="subscript"/>
        <sz val="11"/>
        <color rgb="FF1F1F1F"/>
        <rFont val="Times New Roman"/>
        <family val="1"/>
      </rPr>
      <t>R</t>
    </r>
  </si>
  <si>
    <t>Upstream Pass-Through Rate</t>
  </si>
  <si>
    <t>Downstream Pass-Through Rate</t>
  </si>
  <si>
    <r>
      <t>The absolute (i.e., dollar) increase in the input price charged to Firm R (the downstream rival) (ΔW</t>
    </r>
    <r>
      <rPr>
        <vertAlign val="subscript"/>
        <sz val="11"/>
        <color rgb="FF1F1F1F"/>
        <rFont val="Times New Roman"/>
        <family val="1"/>
      </rPr>
      <t>R</t>
    </r>
    <r>
      <rPr>
        <sz val="11"/>
        <color rgb="FF1F1F1F"/>
        <rFont val="Times New Roman"/>
        <family val="1"/>
      </rPr>
      <t>) following an absolute increase in Firm U’s (the upstream merging firm) marginal cost of serving Firm R (the downstream rival) (ΔC</t>
    </r>
    <r>
      <rPr>
        <vertAlign val="subscript"/>
        <sz val="11"/>
        <color rgb="FF1F1F1F"/>
        <rFont val="Times New Roman"/>
        <family val="1"/>
      </rPr>
      <t>U</t>
    </r>
    <r>
      <rPr>
        <sz val="11"/>
        <color rgb="FF1F1F1F"/>
        <rFont val="Times New Roman"/>
        <family val="1"/>
      </rPr>
      <t>), expressed as a percentage of the increase in marginal cost. That is, PTR</t>
    </r>
    <r>
      <rPr>
        <vertAlign val="subscript"/>
        <sz val="11"/>
        <color rgb="FF1F1F1F"/>
        <rFont val="Times New Roman"/>
        <family val="1"/>
      </rPr>
      <t>U</t>
    </r>
    <r>
      <rPr>
        <sz val="11"/>
        <color rgb="FF1F1F1F"/>
        <rFont val="Times New Roman"/>
        <family val="1"/>
      </rPr>
      <t xml:space="preserve"> = ΔW</t>
    </r>
    <r>
      <rPr>
        <vertAlign val="subscript"/>
        <sz val="11"/>
        <color rgb="FF1F1F1F"/>
        <rFont val="Times New Roman"/>
        <family val="1"/>
      </rPr>
      <t>R</t>
    </r>
    <r>
      <rPr>
        <sz val="11"/>
        <color rgb="FF1F1F1F"/>
        <rFont val="Times New Roman"/>
        <family val="1"/>
      </rPr>
      <t xml:space="preserve"> / ΔC</t>
    </r>
    <r>
      <rPr>
        <vertAlign val="subscript"/>
        <sz val="11"/>
        <color rgb="FF1F1F1F"/>
        <rFont val="Times New Roman"/>
        <family val="1"/>
      </rPr>
      <t>U</t>
    </r>
    <r>
      <rPr>
        <sz val="11"/>
        <color rgb="FF1F1F1F"/>
        <rFont val="Times New Roman"/>
        <family val="1"/>
      </rPr>
      <t>.</t>
    </r>
  </si>
  <si>
    <r>
      <t>The absolute (i.e., dollar) increase in the output price charged by Firm R (the downstream rival) (ΔP</t>
    </r>
    <r>
      <rPr>
        <vertAlign val="subscript"/>
        <sz val="11"/>
        <color rgb="FF1F1F1F"/>
        <rFont val="Times New Roman"/>
        <family val="1"/>
      </rPr>
      <t>R</t>
    </r>
    <r>
      <rPr>
        <sz val="11"/>
        <color rgb="FF1F1F1F"/>
        <rFont val="Times New Roman"/>
        <family val="1"/>
      </rPr>
      <t>) following an absolute increase in Firm R’s (the downstream rival) marginal cost of production (ΔC</t>
    </r>
    <r>
      <rPr>
        <vertAlign val="subscript"/>
        <sz val="11"/>
        <color rgb="FF1F1F1F"/>
        <rFont val="Times New Roman"/>
        <family val="1"/>
      </rPr>
      <t>R</t>
    </r>
    <r>
      <rPr>
        <sz val="11"/>
        <color rgb="FF1F1F1F"/>
        <rFont val="Times New Roman"/>
        <family val="1"/>
      </rPr>
      <t>), expressed as a percentage of the increase in marginal cost. That is, PTR</t>
    </r>
    <r>
      <rPr>
        <vertAlign val="subscript"/>
        <sz val="11"/>
        <color rgb="FF1F1F1F"/>
        <rFont val="Times New Roman"/>
        <family val="1"/>
      </rPr>
      <t>R</t>
    </r>
    <r>
      <rPr>
        <sz val="11"/>
        <color rgb="FF1F1F1F"/>
        <rFont val="Times New Roman"/>
        <family val="1"/>
      </rPr>
      <t xml:space="preserve"> = ΔP</t>
    </r>
    <r>
      <rPr>
        <vertAlign val="subscript"/>
        <sz val="11"/>
        <color rgb="FF1F1F1F"/>
        <rFont val="Times New Roman"/>
        <family val="1"/>
      </rPr>
      <t>R</t>
    </r>
    <r>
      <rPr>
        <sz val="11"/>
        <color rgb="FF1F1F1F"/>
        <rFont val="Times New Roman"/>
        <family val="1"/>
      </rPr>
      <t xml:space="preserve"> / ΔC</t>
    </r>
    <r>
      <rPr>
        <vertAlign val="subscript"/>
        <sz val="11"/>
        <color rgb="FF1F1F1F"/>
        <rFont val="Times New Roman"/>
        <family val="1"/>
      </rPr>
      <t>R</t>
    </r>
    <r>
      <rPr>
        <sz val="11"/>
        <color rgb="FF1F1F1F"/>
        <rFont val="Times New Roman"/>
        <family val="1"/>
      </rPr>
      <t>.</t>
    </r>
  </si>
  <si>
    <r>
      <t>E</t>
    </r>
    <r>
      <rPr>
        <vertAlign val="subscript"/>
        <sz val="11"/>
        <color rgb="FF1F1F1F"/>
        <rFont val="Times New Roman"/>
        <family val="1"/>
      </rPr>
      <t>P</t>
    </r>
  </si>
  <si>
    <t>Downstream Pass-Through Elasticity</t>
  </si>
  <si>
    <r>
      <t>The percentage increase in Firm R’s (the downstream rival) output price caused by a one-percent increase in Firm U’s (the upstream merging firm) input price charged to Firm R (the downstream rival). That is, E</t>
    </r>
    <r>
      <rPr>
        <vertAlign val="subscript"/>
        <sz val="11"/>
        <color rgb="FF1F1F1F"/>
        <rFont val="Times New Roman"/>
        <family val="1"/>
      </rPr>
      <t>P</t>
    </r>
    <r>
      <rPr>
        <sz val="11"/>
        <color rgb="FF1F1F1F"/>
        <rFont val="Times New Roman"/>
        <family val="1"/>
      </rPr>
      <t xml:space="preserve"> = (ΔP</t>
    </r>
    <r>
      <rPr>
        <vertAlign val="subscript"/>
        <sz val="11"/>
        <color rgb="FF1F1F1F"/>
        <rFont val="Times New Roman"/>
        <family val="1"/>
      </rPr>
      <t>R</t>
    </r>
    <r>
      <rPr>
        <sz val="11"/>
        <color rgb="FF1F1F1F"/>
        <rFont val="Times New Roman"/>
        <family val="1"/>
      </rPr>
      <t xml:space="preserve"> / P</t>
    </r>
    <r>
      <rPr>
        <vertAlign val="subscript"/>
        <sz val="11"/>
        <color rgb="FF1F1F1F"/>
        <rFont val="Times New Roman"/>
        <family val="1"/>
      </rPr>
      <t>R</t>
    </r>
    <r>
      <rPr>
        <sz val="11"/>
        <color rgb="FF1F1F1F"/>
        <rFont val="Times New Roman"/>
        <family val="1"/>
      </rPr>
      <t>) / (ΔW</t>
    </r>
    <r>
      <rPr>
        <vertAlign val="subscript"/>
        <sz val="11"/>
        <color rgb="FF1F1F1F"/>
        <rFont val="Times New Roman"/>
        <family val="1"/>
      </rPr>
      <t>R</t>
    </r>
    <r>
      <rPr>
        <sz val="11"/>
        <color rgb="FF1F1F1F"/>
        <rFont val="Times New Roman"/>
        <family val="1"/>
      </rPr>
      <t xml:space="preserve"> / W</t>
    </r>
    <r>
      <rPr>
        <vertAlign val="subscript"/>
        <sz val="11"/>
        <color rgb="FF1F1F1F"/>
        <rFont val="Times New Roman"/>
        <family val="1"/>
      </rPr>
      <t>R</t>
    </r>
    <r>
      <rPr>
        <sz val="11"/>
        <color rgb="FF1F1F1F"/>
        <rFont val="Times New Roman"/>
        <family val="1"/>
      </rPr>
      <t>). Equivalently, E</t>
    </r>
    <r>
      <rPr>
        <vertAlign val="subscript"/>
        <sz val="11"/>
        <color rgb="FF1F1F1F"/>
        <rFont val="Times New Roman"/>
        <family val="1"/>
      </rPr>
      <t>P</t>
    </r>
    <r>
      <rPr>
        <sz val="11"/>
        <color rgb="FF1F1F1F"/>
        <rFont val="Times New Roman"/>
        <family val="1"/>
      </rPr>
      <t xml:space="preserve"> = PTR</t>
    </r>
    <r>
      <rPr>
        <vertAlign val="subscript"/>
        <sz val="11"/>
        <color rgb="FF1F1F1F"/>
        <rFont val="Times New Roman"/>
        <family val="1"/>
      </rPr>
      <t>R</t>
    </r>
    <r>
      <rPr>
        <sz val="11"/>
        <color rgb="FF1F1F1F"/>
        <rFont val="Times New Roman"/>
        <family val="1"/>
      </rPr>
      <t xml:space="preserve"> × (ΔC</t>
    </r>
    <r>
      <rPr>
        <vertAlign val="subscript"/>
        <sz val="11"/>
        <color rgb="FF1F1F1F"/>
        <rFont val="Times New Roman"/>
        <family val="1"/>
      </rPr>
      <t>R</t>
    </r>
    <r>
      <rPr>
        <sz val="11"/>
        <color rgb="FF1F1F1F"/>
        <rFont val="Times New Roman"/>
        <family val="1"/>
      </rPr>
      <t xml:space="preserve"> / ΔW</t>
    </r>
    <r>
      <rPr>
        <vertAlign val="subscript"/>
        <sz val="11"/>
        <color rgb="FF1F1F1F"/>
        <rFont val="Times New Roman"/>
        <family val="1"/>
      </rPr>
      <t>R</t>
    </r>
    <r>
      <rPr>
        <sz val="11"/>
        <color rgb="FF1F1F1F"/>
        <rFont val="Times New Roman"/>
        <family val="1"/>
      </rPr>
      <t>) × W</t>
    </r>
    <r>
      <rPr>
        <vertAlign val="subscript"/>
        <sz val="11"/>
        <color rgb="FF1F1F1F"/>
        <rFont val="Times New Roman"/>
        <family val="1"/>
      </rPr>
      <t>R</t>
    </r>
    <r>
      <rPr>
        <sz val="11"/>
        <color rgb="FF1F1F1F"/>
        <rFont val="Times New Roman"/>
        <family val="1"/>
      </rPr>
      <t xml:space="preserve"> / P</t>
    </r>
    <r>
      <rPr>
        <vertAlign val="subscript"/>
        <sz val="11"/>
        <color rgb="FF1F1F1F"/>
        <rFont val="Times New Roman"/>
        <family val="1"/>
      </rPr>
      <t>R</t>
    </r>
    <r>
      <rPr>
        <sz val="11"/>
        <color rgb="FF1F1F1F"/>
        <rFont val="Times New Roman"/>
        <family val="1"/>
      </rPr>
      <t>.</t>
    </r>
  </si>
  <si>
    <t>E</t>
  </si>
  <si>
    <t>Market Elasticity</t>
  </si>
  <si>
    <t>The percentage reduction in downstream market demand caused by a one-percent increase in the downstream market price.</t>
  </si>
  <si>
    <r>
      <t>E</t>
    </r>
    <r>
      <rPr>
        <vertAlign val="subscript"/>
        <sz val="11"/>
        <color rgb="FF1F1F1F"/>
        <rFont val="Times New Roman"/>
        <family val="1"/>
      </rPr>
      <t>SR</t>
    </r>
  </si>
  <si>
    <r>
      <t>E</t>
    </r>
    <r>
      <rPr>
        <vertAlign val="subscript"/>
        <sz val="11"/>
        <color rgb="FF1F1F1F"/>
        <rFont val="Times New Roman"/>
        <family val="1"/>
      </rPr>
      <t>SD</t>
    </r>
  </si>
  <si>
    <t>Purchase Share Elasticity</t>
  </si>
  <si>
    <r>
      <t>The elasticity of the purchase share S</t>
    </r>
    <r>
      <rPr>
        <vertAlign val="subscript"/>
        <sz val="11"/>
        <color rgb="FF1F1F1F"/>
        <rFont val="Times New Roman"/>
        <family val="1"/>
      </rPr>
      <t>UR</t>
    </r>
    <r>
      <rPr>
        <sz val="11"/>
        <color rgb="FF1F1F1F"/>
        <rFont val="Times New Roman"/>
        <family val="1"/>
      </rPr>
      <t xml:space="preserve"> with respect to an increase in the input price W</t>
    </r>
    <r>
      <rPr>
        <vertAlign val="subscript"/>
        <sz val="11"/>
        <color rgb="FF1F1F1F"/>
        <rFont val="Times New Roman"/>
        <family val="1"/>
      </rPr>
      <t>R</t>
    </r>
    <r>
      <rPr>
        <sz val="11"/>
        <color rgb="FF1F1F1F"/>
        <rFont val="Times New Roman"/>
        <family val="1"/>
      </rPr>
      <t xml:space="preserve"> that Firm U (the upstream merging firm) charges to Firm R (the downstream rival).</t>
    </r>
  </si>
  <si>
    <r>
      <t>The elasticity of Firm U’s (the upstream merging firm) share of the input purchases of Firm D (the downstream merging firm) with respect to an increase in the input price W</t>
    </r>
    <r>
      <rPr>
        <vertAlign val="subscript"/>
        <sz val="11"/>
        <color rgb="FF1F1F1F"/>
        <rFont val="Times New Roman"/>
        <family val="1"/>
      </rPr>
      <t>D</t>
    </r>
    <r>
      <rPr>
        <sz val="11"/>
        <color rgb="FF1F1F1F"/>
        <rFont val="Times New Roman"/>
        <family val="1"/>
      </rPr>
      <t xml:space="preserve"> that Firm U (the upstream merging firm) charges to Firm D (the downstream merging firm).</t>
    </r>
  </si>
  <si>
    <r>
      <t>S</t>
    </r>
    <r>
      <rPr>
        <vertAlign val="subscript"/>
        <sz val="11"/>
        <color rgb="FF1F1F1F"/>
        <rFont val="Times New Roman"/>
        <family val="1"/>
      </rPr>
      <t>UR</t>
    </r>
  </si>
  <si>
    <t>Purchase Share</t>
  </si>
  <si>
    <t>Firm U’s (the upstream merging firm) share of Firm R’s (the downstream rival) total purchases of the relevant input.</t>
  </si>
  <si>
    <r>
      <t>S</t>
    </r>
    <r>
      <rPr>
        <vertAlign val="subscript"/>
        <sz val="11"/>
        <color rgb="FF1F1F1F"/>
        <rFont val="Times New Roman"/>
        <family val="1"/>
      </rPr>
      <t>UR</t>
    </r>
    <r>
      <rPr>
        <vertAlign val="superscript"/>
        <sz val="11"/>
        <color rgb="FF1F1F1F"/>
        <rFont val="Times New Roman"/>
        <family val="1"/>
      </rPr>
      <t>post</t>
    </r>
    <r>
      <rPr>
        <sz val="11"/>
        <color rgb="FF1F1F1F"/>
        <rFont val="Times New Roman"/>
        <family val="1"/>
      </rPr>
      <t xml:space="preserve"> / S</t>
    </r>
    <r>
      <rPr>
        <vertAlign val="subscript"/>
        <sz val="11"/>
        <color rgb="FF1F1F1F"/>
        <rFont val="Times New Roman"/>
        <family val="1"/>
      </rPr>
      <t>UR</t>
    </r>
  </si>
  <si>
    <t>Purchase Share Ratio</t>
  </si>
  <si>
    <t>The ratio of Firm U’s (the upstream merging firm) share of Firm R’s (the downstream rival) input purchases after the target price increase to the share before the input price increase.</t>
  </si>
  <si>
    <r>
      <rPr>
        <b/>
        <i/>
        <sz val="11"/>
        <color rgb="FF1F1F1F"/>
        <rFont val="Times New Roman"/>
        <family val="1"/>
      </rPr>
      <t>v</t>
    </r>
    <r>
      <rPr>
        <b/>
        <sz val="11"/>
        <color rgb="FF1F1F1F"/>
        <rFont val="Times New Roman"/>
        <family val="1"/>
      </rPr>
      <t>GUPPI</t>
    </r>
    <r>
      <rPr>
        <b/>
        <i/>
        <sz val="11"/>
        <color rgb="FF1F1F1F"/>
        <rFont val="Times New Roman"/>
        <family val="1"/>
      </rPr>
      <t>u</t>
    </r>
  </si>
  <si>
    <r>
      <rPr>
        <b/>
        <i/>
        <sz val="11"/>
        <color rgb="FF1F1F1F"/>
        <rFont val="Times New Roman"/>
        <family val="1"/>
      </rPr>
      <t>v</t>
    </r>
    <r>
      <rPr>
        <b/>
        <sz val="11"/>
        <color rgb="FF1F1F1F"/>
        <rFont val="Times New Roman"/>
        <family val="1"/>
      </rPr>
      <t>GUPPI</t>
    </r>
    <r>
      <rPr>
        <b/>
        <i/>
        <sz val="11"/>
        <color rgb="FF1F1F1F"/>
        <rFont val="Times New Roman"/>
        <family val="1"/>
      </rPr>
      <t>r</t>
    </r>
  </si>
  <si>
    <r>
      <t>DR</t>
    </r>
    <r>
      <rPr>
        <vertAlign val="subscript"/>
        <sz val="11"/>
        <color rgb="FF1F1F1F"/>
        <rFont val="Times New Roman"/>
        <family val="1"/>
      </rPr>
      <t>UD</t>
    </r>
    <r>
      <rPr>
        <sz val="11"/>
        <color rgb="FF1F1F1F"/>
        <rFont val="Times New Roman"/>
        <family val="1"/>
      </rPr>
      <t xml:space="preserve"> × M</t>
    </r>
    <r>
      <rPr>
        <vertAlign val="subscript"/>
        <sz val="11"/>
        <color rgb="FF1F1F1F"/>
        <rFont val="Times New Roman"/>
        <family val="1"/>
      </rPr>
      <t>D</t>
    </r>
    <r>
      <rPr>
        <sz val="11"/>
        <color rgb="FF1F1F1F"/>
        <rFont val="Times New Roman"/>
        <family val="1"/>
      </rPr>
      <t xml:space="preserve"> × P</t>
    </r>
    <r>
      <rPr>
        <vertAlign val="subscript"/>
        <sz val="11"/>
        <color rgb="FF1F1F1F"/>
        <rFont val="Times New Roman"/>
        <family val="1"/>
      </rPr>
      <t>D</t>
    </r>
    <r>
      <rPr>
        <sz val="11"/>
        <color rgb="FF1F1F1F"/>
        <rFont val="Times New Roman"/>
        <family val="1"/>
      </rPr>
      <t xml:space="preserve"> / W</t>
    </r>
    <r>
      <rPr>
        <vertAlign val="subscript"/>
        <sz val="11"/>
        <color rgb="FF1F1F1F"/>
        <rFont val="Times New Roman"/>
        <family val="1"/>
      </rPr>
      <t>R</t>
    </r>
  </si>
  <si>
    <r>
      <rPr>
        <i/>
        <sz val="11"/>
        <color rgb="FF1F1F1F"/>
        <rFont val="Times New Roman"/>
        <family val="1"/>
      </rPr>
      <t>v</t>
    </r>
    <r>
      <rPr>
        <sz val="11"/>
        <color rgb="FF1F1F1F"/>
        <rFont val="Times New Roman"/>
        <family val="1"/>
      </rPr>
      <t>GUPPI</t>
    </r>
    <r>
      <rPr>
        <i/>
        <sz val="11"/>
        <color rgb="FF1F1F1F"/>
        <rFont val="Times New Roman"/>
        <family val="1"/>
      </rPr>
      <t>u</t>
    </r>
    <r>
      <rPr>
        <sz val="11"/>
        <color rgb="FF1F1F1F"/>
        <rFont val="Times New Roman"/>
        <family val="1"/>
      </rPr>
      <t xml:space="preserve"> × PTR</t>
    </r>
    <r>
      <rPr>
        <vertAlign val="subscript"/>
        <sz val="11"/>
        <color rgb="FF1F1F1F"/>
        <rFont val="Times New Roman"/>
        <family val="1"/>
      </rPr>
      <t>U</t>
    </r>
    <r>
      <rPr>
        <sz val="11"/>
        <color rgb="FF1F1F1F"/>
        <rFont val="Times New Roman"/>
        <family val="1"/>
      </rPr>
      <t xml:space="preserve"> × W</t>
    </r>
    <r>
      <rPr>
        <vertAlign val="subscript"/>
        <sz val="11"/>
        <color rgb="FF1F1F1F"/>
        <rFont val="Times New Roman"/>
        <family val="1"/>
      </rPr>
      <t>R</t>
    </r>
    <r>
      <rPr>
        <sz val="11"/>
        <color rgb="FF1F1F1F"/>
        <rFont val="Times New Roman"/>
        <family val="1"/>
      </rPr>
      <t xml:space="preserve"> / P</t>
    </r>
    <r>
      <rPr>
        <vertAlign val="subscript"/>
        <sz val="11"/>
        <color rgb="FF1F1F1F"/>
        <rFont val="Times New Roman"/>
        <family val="1"/>
      </rPr>
      <t>R</t>
    </r>
  </si>
  <si>
    <r>
      <t>(DR</t>
    </r>
    <r>
      <rPr>
        <vertAlign val="subscript"/>
        <sz val="11"/>
        <color rgb="FF1F1F1F"/>
        <rFont val="Times New Roman"/>
        <family val="1"/>
      </rPr>
      <t>RD</t>
    </r>
    <r>
      <rPr>
        <sz val="11"/>
        <color rgb="FF1F1F1F"/>
        <rFont val="Times New Roman"/>
        <family val="1"/>
      </rPr>
      <t xml:space="preserve"> × M</t>
    </r>
    <r>
      <rPr>
        <vertAlign val="subscript"/>
        <sz val="11"/>
        <color rgb="FF1F1F1F"/>
        <rFont val="Times New Roman"/>
        <family val="1"/>
      </rPr>
      <t>D</t>
    </r>
    <r>
      <rPr>
        <sz val="11"/>
        <color rgb="FF1F1F1F"/>
        <rFont val="Times New Roman"/>
        <family val="1"/>
      </rPr>
      <t xml:space="preserve"> × P</t>
    </r>
    <r>
      <rPr>
        <vertAlign val="subscript"/>
        <sz val="11"/>
        <color rgb="FF1F1F1F"/>
        <rFont val="Times New Roman"/>
        <family val="1"/>
      </rPr>
      <t>D</t>
    </r>
    <r>
      <rPr>
        <sz val="11"/>
        <color rgb="FF1F1F1F"/>
        <rFont val="Times New Roman"/>
        <family val="1"/>
      </rPr>
      <t xml:space="preserve"> / W</t>
    </r>
    <r>
      <rPr>
        <vertAlign val="subscript"/>
        <sz val="11"/>
        <color rgb="FF1F1F1F"/>
        <rFont val="Times New Roman"/>
        <family val="1"/>
      </rPr>
      <t>R</t>
    </r>
    <r>
      <rPr>
        <sz val="11"/>
        <color rgb="FF1F1F1F"/>
        <rFont val="Times New Roman"/>
        <family val="1"/>
      </rPr>
      <t>) / (1 + M</t>
    </r>
    <r>
      <rPr>
        <vertAlign val="subscript"/>
        <sz val="11"/>
        <color rgb="FF1F1F1F"/>
        <rFont val="Times New Roman"/>
        <family val="1"/>
      </rPr>
      <t>R</t>
    </r>
    <r>
      <rPr>
        <sz val="11"/>
        <color rgb="FF1F1F1F"/>
        <rFont val="Times New Roman"/>
        <family val="1"/>
      </rPr>
      <t xml:space="preserve"> × E</t>
    </r>
    <r>
      <rPr>
        <vertAlign val="subscript"/>
        <sz val="11"/>
        <color rgb="FF1F1F1F"/>
        <rFont val="Times New Roman"/>
        <family val="1"/>
      </rPr>
      <t>SR</t>
    </r>
    <r>
      <rPr>
        <sz val="11"/>
        <color rgb="FF1F1F1F"/>
        <rFont val="Times New Roman"/>
        <family val="1"/>
      </rPr>
      <t xml:space="preserve"> / E</t>
    </r>
    <r>
      <rPr>
        <vertAlign val="subscript"/>
        <sz val="11"/>
        <color rgb="FF1F1F1F"/>
        <rFont val="Times New Roman"/>
        <family val="1"/>
      </rPr>
      <t>P</t>
    </r>
    <r>
      <rPr>
        <sz val="11"/>
        <color rgb="FF1F1F1F"/>
        <rFont val="Times New Roman"/>
        <family val="1"/>
      </rPr>
      <t>)</t>
    </r>
  </si>
  <si>
    <r>
      <rPr>
        <i/>
        <sz val="11"/>
        <color rgb="FF1F1F1F"/>
        <rFont val="Times New Roman"/>
        <family val="1"/>
      </rPr>
      <t>v</t>
    </r>
    <r>
      <rPr>
        <sz val="11"/>
        <color rgb="FF1F1F1F"/>
        <rFont val="Times New Roman"/>
        <family val="1"/>
      </rPr>
      <t>GUPPI</t>
    </r>
    <r>
      <rPr>
        <i/>
        <sz val="11"/>
        <color rgb="FF1F1F1F"/>
        <rFont val="Times New Roman"/>
        <family val="1"/>
      </rPr>
      <t>u</t>
    </r>
    <r>
      <rPr>
        <sz val="11"/>
        <color rgb="FF1F1F1F"/>
        <rFont val="Times New Roman"/>
        <family val="1"/>
      </rPr>
      <t xml:space="preserve"> × PTR</t>
    </r>
    <r>
      <rPr>
        <vertAlign val="subscript"/>
        <sz val="11"/>
        <color rgb="FF1F1F1F"/>
        <rFont val="Times New Roman"/>
        <family val="1"/>
      </rPr>
      <t>U</t>
    </r>
    <r>
      <rPr>
        <sz val="11"/>
        <color rgb="FF1F1F1F"/>
        <rFont val="Times New Roman"/>
        <family val="1"/>
      </rPr>
      <t xml:space="preserve"> × (W</t>
    </r>
    <r>
      <rPr>
        <vertAlign val="subscript"/>
        <sz val="11"/>
        <color rgb="FF1F1F1F"/>
        <rFont val="Times New Roman"/>
        <family val="1"/>
      </rPr>
      <t>R</t>
    </r>
    <r>
      <rPr>
        <sz val="11"/>
        <color rgb="FF1F1F1F"/>
        <rFont val="Times New Roman"/>
        <family val="1"/>
      </rPr>
      <t xml:space="preserve"> / P</t>
    </r>
    <r>
      <rPr>
        <vertAlign val="subscript"/>
        <sz val="11"/>
        <color rgb="FF1F1F1F"/>
        <rFont val="Times New Roman"/>
        <family val="1"/>
      </rPr>
      <t>R</t>
    </r>
    <r>
      <rPr>
        <sz val="11"/>
        <color rgb="FF1F1F1F"/>
        <rFont val="Times New Roman"/>
        <family val="1"/>
      </rPr>
      <t>) × (S</t>
    </r>
    <r>
      <rPr>
        <vertAlign val="subscript"/>
        <sz val="11"/>
        <color rgb="FF1F1F1F"/>
        <rFont val="Times New Roman"/>
        <family val="1"/>
      </rPr>
      <t>UR</t>
    </r>
    <r>
      <rPr>
        <vertAlign val="superscript"/>
        <sz val="11"/>
        <color rgb="FF1F1F1F"/>
        <rFont val="Times New Roman"/>
        <family val="1"/>
      </rPr>
      <t>post</t>
    </r>
    <r>
      <rPr>
        <sz val="11"/>
        <color rgb="FF1F1F1F"/>
        <rFont val="Times New Roman"/>
        <family val="1"/>
      </rPr>
      <t xml:space="preserve"> / S</t>
    </r>
    <r>
      <rPr>
        <vertAlign val="subscript"/>
        <sz val="11"/>
        <color rgb="FF1F1F1F"/>
        <rFont val="Times New Roman"/>
        <family val="1"/>
      </rPr>
      <t>UR</t>
    </r>
    <r>
      <rPr>
        <sz val="11"/>
        <color rgb="FF1F1F1F"/>
        <rFont val="Times New Roman"/>
        <family val="1"/>
      </rPr>
      <t>)</t>
    </r>
  </si>
  <si>
    <r>
      <t>S</t>
    </r>
    <r>
      <rPr>
        <b/>
        <vertAlign val="subscript"/>
        <sz val="11"/>
        <color rgb="FF1F1F1F"/>
        <rFont val="Times New Roman"/>
        <family val="1"/>
      </rPr>
      <t>UR</t>
    </r>
    <r>
      <rPr>
        <b/>
        <vertAlign val="superscript"/>
        <sz val="11"/>
        <color rgb="FF1F1F1F"/>
        <rFont val="Times New Roman"/>
        <family val="1"/>
      </rPr>
      <t>post</t>
    </r>
    <r>
      <rPr>
        <b/>
        <sz val="11"/>
        <color rgb="FF1F1F1F"/>
        <rFont val="Times New Roman"/>
        <family val="1"/>
      </rPr>
      <t xml:space="preserve"> / S</t>
    </r>
    <r>
      <rPr>
        <b/>
        <vertAlign val="subscript"/>
        <sz val="11"/>
        <color rgb="FF1F1F1F"/>
        <rFont val="Times New Roman"/>
        <family val="1"/>
      </rPr>
      <t>UR</t>
    </r>
  </si>
  <si>
    <r>
      <t xml:space="preserve">1 − </t>
    </r>
    <r>
      <rPr>
        <i/>
        <sz val="11"/>
        <color rgb="FF1F1F1F"/>
        <rFont val="Times New Roman"/>
        <family val="1"/>
      </rPr>
      <t>v</t>
    </r>
    <r>
      <rPr>
        <sz val="11"/>
        <color rgb="FF1F1F1F"/>
        <rFont val="Times New Roman"/>
        <family val="1"/>
      </rPr>
      <t>GUPPI</t>
    </r>
    <r>
      <rPr>
        <i/>
        <sz val="11"/>
        <color rgb="FF1F1F1F"/>
        <rFont val="Times New Roman"/>
        <family val="1"/>
      </rPr>
      <t>u</t>
    </r>
    <r>
      <rPr>
        <sz val="11"/>
        <color rgb="FF1F1F1F"/>
        <rFont val="Times New Roman"/>
        <family val="1"/>
      </rPr>
      <t xml:space="preserve"> × PTR</t>
    </r>
    <r>
      <rPr>
        <vertAlign val="subscript"/>
        <sz val="11"/>
        <color rgb="FF1F1F1F"/>
        <rFont val="Times New Roman"/>
        <family val="1"/>
      </rPr>
      <t>U</t>
    </r>
    <r>
      <rPr>
        <sz val="11"/>
        <color rgb="FF1F1F1F"/>
        <rFont val="Times New Roman"/>
        <family val="1"/>
      </rPr>
      <t xml:space="preserve"> × E</t>
    </r>
    <r>
      <rPr>
        <vertAlign val="subscript"/>
        <sz val="11"/>
        <color rgb="FF1F1F1F"/>
        <rFont val="Times New Roman"/>
        <family val="1"/>
      </rPr>
      <t>SR</t>
    </r>
  </si>
  <si>
    <r>
      <rPr>
        <b/>
        <i/>
        <sz val="11"/>
        <color rgb="FF1F1F1F"/>
        <rFont val="Times New Roman"/>
        <family val="1"/>
      </rPr>
      <t>v</t>
    </r>
    <r>
      <rPr>
        <b/>
        <sz val="11"/>
        <color rgb="FF1F1F1F"/>
        <rFont val="Times New Roman"/>
        <family val="1"/>
      </rPr>
      <t>GUPPI</t>
    </r>
    <r>
      <rPr>
        <b/>
        <i/>
        <sz val="11"/>
        <color rgb="FF1F1F1F"/>
        <rFont val="Times New Roman"/>
        <family val="1"/>
      </rPr>
      <t>d1</t>
    </r>
  </si>
  <si>
    <r>
      <t>DR</t>
    </r>
    <r>
      <rPr>
        <vertAlign val="subscript"/>
        <sz val="11"/>
        <color rgb="FF1F1F1F"/>
        <rFont val="Times New Roman"/>
        <family val="1"/>
      </rPr>
      <t>DU</t>
    </r>
    <r>
      <rPr>
        <sz val="11"/>
        <color rgb="FF1F1F1F"/>
        <rFont val="Times New Roman"/>
        <family val="1"/>
      </rPr>
      <t xml:space="preserve"> × M</t>
    </r>
    <r>
      <rPr>
        <vertAlign val="subscript"/>
        <sz val="11"/>
        <color rgb="FF1F1F1F"/>
        <rFont val="Times New Roman"/>
        <family val="1"/>
      </rPr>
      <t>U</t>
    </r>
    <r>
      <rPr>
        <sz val="11"/>
        <color rgb="FF1F1F1F"/>
        <rFont val="Times New Roman"/>
        <family val="1"/>
      </rPr>
      <t xml:space="preserve"> × W</t>
    </r>
    <r>
      <rPr>
        <vertAlign val="subscript"/>
        <sz val="11"/>
        <color rgb="FF1F1F1F"/>
        <rFont val="Times New Roman"/>
        <family val="1"/>
      </rPr>
      <t>U</t>
    </r>
    <r>
      <rPr>
        <sz val="11"/>
        <color rgb="FF1F1F1F"/>
        <rFont val="Times New Roman"/>
        <family val="1"/>
      </rPr>
      <t xml:space="preserve"> / P</t>
    </r>
    <r>
      <rPr>
        <vertAlign val="subscript"/>
        <sz val="11"/>
        <color rgb="FF1F1F1F"/>
        <rFont val="Times New Roman"/>
        <family val="1"/>
      </rPr>
      <t>D</t>
    </r>
  </si>
  <si>
    <r>
      <rPr>
        <b/>
        <i/>
        <sz val="11"/>
        <color rgb="FF1F1F1F"/>
        <rFont val="Times New Roman"/>
        <family val="1"/>
      </rPr>
      <t>v</t>
    </r>
    <r>
      <rPr>
        <b/>
        <sz val="11"/>
        <color rgb="FF1F1F1F"/>
        <rFont val="Times New Roman"/>
        <family val="1"/>
      </rPr>
      <t>GUPPI</t>
    </r>
    <r>
      <rPr>
        <b/>
        <i/>
        <sz val="11"/>
        <color rgb="FF1F1F1F"/>
        <rFont val="Times New Roman"/>
        <family val="1"/>
      </rPr>
      <t>d2</t>
    </r>
  </si>
  <si>
    <r>
      <rPr>
        <i/>
        <sz val="11"/>
        <color rgb="FF1F1F1F"/>
        <rFont val="Times New Roman"/>
        <family val="1"/>
      </rPr>
      <t>v</t>
    </r>
    <r>
      <rPr>
        <sz val="11"/>
        <color rgb="FF1F1F1F"/>
        <rFont val="Times New Roman"/>
        <family val="1"/>
      </rPr>
      <t>GUPPI</t>
    </r>
    <r>
      <rPr>
        <i/>
        <sz val="11"/>
        <color rgb="FF1F1F1F"/>
        <rFont val="Times New Roman"/>
        <family val="1"/>
      </rPr>
      <t>d1</t>
    </r>
    <r>
      <rPr>
        <sz val="11"/>
        <color rgb="FF1F1F1F"/>
        <rFont val="Times New Roman"/>
        <family val="1"/>
      </rPr>
      <t xml:space="preserve"> − M</t>
    </r>
    <r>
      <rPr>
        <vertAlign val="subscript"/>
        <sz val="11"/>
        <color rgb="FF1F1F1F"/>
        <rFont val="Times New Roman"/>
        <family val="1"/>
      </rPr>
      <t>UD</t>
    </r>
    <r>
      <rPr>
        <sz val="11"/>
        <color rgb="FF1F1F1F"/>
        <rFont val="Times New Roman"/>
        <family val="1"/>
      </rPr>
      <t xml:space="preserve"> × W</t>
    </r>
    <r>
      <rPr>
        <vertAlign val="subscript"/>
        <sz val="11"/>
        <color rgb="FF1F1F1F"/>
        <rFont val="Times New Roman"/>
        <family val="1"/>
      </rPr>
      <t>D</t>
    </r>
    <r>
      <rPr>
        <sz val="11"/>
        <color rgb="FF1F1F1F"/>
        <rFont val="Times New Roman"/>
        <family val="1"/>
      </rPr>
      <t xml:space="preserve"> / P</t>
    </r>
    <r>
      <rPr>
        <vertAlign val="subscript"/>
        <sz val="11"/>
        <color rgb="FF1F1F1F"/>
        <rFont val="Times New Roman"/>
        <family val="1"/>
      </rPr>
      <t>D</t>
    </r>
  </si>
  <si>
    <r>
      <rPr>
        <b/>
        <i/>
        <sz val="11"/>
        <color rgb="FF1F1F1F"/>
        <rFont val="Times New Roman"/>
        <family val="1"/>
      </rPr>
      <t>v</t>
    </r>
    <r>
      <rPr>
        <b/>
        <sz val="11"/>
        <color rgb="FF1F1F1F"/>
        <rFont val="Times New Roman"/>
        <family val="1"/>
      </rPr>
      <t>GUPPI</t>
    </r>
    <r>
      <rPr>
        <b/>
        <i/>
        <sz val="11"/>
        <color rgb="FF1F1F1F"/>
        <rFont val="Times New Roman"/>
        <family val="1"/>
      </rPr>
      <t>d3</t>
    </r>
  </si>
  <si>
    <r>
      <rPr>
        <i/>
        <sz val="11"/>
        <color rgb="FF1F1F1F"/>
        <rFont val="Times New Roman"/>
        <family val="1"/>
      </rPr>
      <t>v</t>
    </r>
    <r>
      <rPr>
        <sz val="11"/>
        <color rgb="FF1F1F1F"/>
        <rFont val="Times New Roman"/>
        <family val="1"/>
      </rPr>
      <t>GUPPI</t>
    </r>
    <r>
      <rPr>
        <i/>
        <sz val="11"/>
        <color rgb="FF1F1F1F"/>
        <rFont val="Times New Roman"/>
        <family val="1"/>
      </rPr>
      <t>d2</t>
    </r>
    <r>
      <rPr>
        <sz val="11"/>
        <color rgb="FF1F1F1F"/>
        <rFont val="Times New Roman"/>
        <family val="1"/>
      </rPr>
      <t xml:space="preserve"> − E</t>
    </r>
    <r>
      <rPr>
        <vertAlign val="subscript"/>
        <sz val="11"/>
        <color rgb="FF1F1F1F"/>
        <rFont val="Times New Roman"/>
        <family val="1"/>
      </rPr>
      <t>SD</t>
    </r>
    <r>
      <rPr>
        <sz val="11"/>
        <color rgb="FF1F1F1F"/>
        <rFont val="Times New Roman"/>
        <family val="1"/>
      </rPr>
      <t xml:space="preserve"> × (M</t>
    </r>
    <r>
      <rPr>
        <vertAlign val="subscript"/>
        <sz val="11"/>
        <color rgb="FF1F1F1F"/>
        <rFont val="Times New Roman"/>
        <family val="1"/>
      </rPr>
      <t>UD</t>
    </r>
    <r>
      <rPr>
        <sz val="11"/>
        <color rgb="FF1F1F1F"/>
        <rFont val="Times New Roman"/>
        <family val="1"/>
      </rPr>
      <t>)</t>
    </r>
    <r>
      <rPr>
        <vertAlign val="superscript"/>
        <sz val="11"/>
        <color rgb="FF1F1F1F"/>
        <rFont val="Times New Roman"/>
        <family val="1"/>
      </rPr>
      <t>2</t>
    </r>
    <r>
      <rPr>
        <sz val="11"/>
        <color rgb="FF1F1F1F"/>
        <rFont val="Times New Roman"/>
        <family val="1"/>
      </rPr>
      <t xml:space="preserve"> × W</t>
    </r>
    <r>
      <rPr>
        <vertAlign val="subscript"/>
        <sz val="11"/>
        <color rgb="FF1F1F1F"/>
        <rFont val="Times New Roman"/>
        <family val="1"/>
      </rPr>
      <t>D</t>
    </r>
    <r>
      <rPr>
        <sz val="11"/>
        <color rgb="FF1F1F1F"/>
        <rFont val="Times New Roman"/>
        <family val="1"/>
      </rPr>
      <t xml:space="preserve"> / P</t>
    </r>
    <r>
      <rPr>
        <vertAlign val="subscript"/>
        <sz val="11"/>
        <color rgb="FF1F1F1F"/>
        <rFont val="Times New Roman"/>
        <family val="1"/>
      </rPr>
      <t>D</t>
    </r>
  </si>
  <si>
    <t>SCENARIO 1:</t>
  </si>
  <si>
    <t>NO ELIMINATION OF DOUBLE MARGINALIZATION (EDM)</t>
  </si>
  <si>
    <t>SCENARIO 2:</t>
  </si>
  <si>
    <t>ACCOUNTING FOR EDM</t>
  </si>
  <si>
    <t>SCENARIO 3:</t>
  </si>
  <si>
    <t>ACCOUNTING FOR EDM AND INPUT SUBSTITUTION</t>
  </si>
  <si>
    <t>NO INPUT SUBSTITUTION</t>
  </si>
  <si>
    <t>ACCOUNTING FOR INPUT SUBSTITUTION</t>
  </si>
  <si>
    <t>PRICES</t>
  </si>
  <si>
    <t>MARGINS</t>
  </si>
  <si>
    <t>DIVERSION RATIOS</t>
  </si>
  <si>
    <t>PASS-THROUGH RATES</t>
  </si>
  <si>
    <t>PURCHASE SHARES</t>
  </si>
  <si>
    <t>ELASTICITIES</t>
  </si>
  <si>
    <r>
      <t>1 / M</t>
    </r>
    <r>
      <rPr>
        <vertAlign val="subscript"/>
        <sz val="11"/>
        <rFont val="Times New Roman"/>
        <family val="1"/>
      </rPr>
      <t>U</t>
    </r>
    <r>
      <rPr>
        <sz val="11"/>
        <rFont val="Times New Roman"/>
        <family val="1"/>
      </rPr>
      <t xml:space="preserve"> − E × E</t>
    </r>
    <r>
      <rPr>
        <vertAlign val="subscript"/>
        <sz val="11"/>
        <rFont val="Times New Roman"/>
        <family val="1"/>
      </rPr>
      <t>P</t>
    </r>
  </si>
  <si>
    <r>
      <t>PTR</t>
    </r>
    <r>
      <rPr>
        <vertAlign val="subscript"/>
        <sz val="11"/>
        <color rgb="FF1F1F1F"/>
        <rFont val="Times New Roman"/>
        <family val="1"/>
      </rPr>
      <t>R</t>
    </r>
    <r>
      <rPr>
        <sz val="11"/>
        <color rgb="FF1F1F1F"/>
        <rFont val="Times New Roman"/>
        <family val="1"/>
      </rPr>
      <t xml:space="preserve"> × W</t>
    </r>
    <r>
      <rPr>
        <vertAlign val="subscript"/>
        <sz val="11"/>
        <color rgb="FF1F1F1F"/>
        <rFont val="Times New Roman"/>
        <family val="1"/>
      </rPr>
      <t>R</t>
    </r>
    <r>
      <rPr>
        <sz val="11"/>
        <color rgb="FF1F1F1F"/>
        <rFont val="Times New Roman"/>
        <family val="1"/>
      </rPr>
      <t xml:space="preserve"> / P</t>
    </r>
    <r>
      <rPr>
        <vertAlign val="subscript"/>
        <sz val="11"/>
        <color rgb="FF1F1F1F"/>
        <rFont val="Times New Roman"/>
        <family val="1"/>
      </rPr>
      <t>R</t>
    </r>
  </si>
  <si>
    <t>ASSUMING DOWNSTREAM FIRMS ARE SYMMETRIC AND PROFIT-MAXIMIZATION BY THE UPSTREAM MERGING FIRM</t>
  </si>
  <si>
    <r>
      <t>E</t>
    </r>
    <r>
      <rPr>
        <b/>
        <vertAlign val="subscript"/>
        <sz val="11"/>
        <rFont val="Times New Roman"/>
        <family val="1"/>
      </rPr>
      <t>P</t>
    </r>
  </si>
  <si>
    <r>
      <t>E</t>
    </r>
    <r>
      <rPr>
        <b/>
        <vertAlign val="subscript"/>
        <sz val="11"/>
        <rFont val="Times New Roman"/>
        <family val="1"/>
      </rPr>
      <t>SR</t>
    </r>
    <r>
      <rPr>
        <b/>
        <sz val="11"/>
        <rFont val="Times New Roman"/>
        <family val="1"/>
      </rPr>
      <t xml:space="preserve"> = E</t>
    </r>
    <r>
      <rPr>
        <b/>
        <vertAlign val="subscript"/>
        <sz val="11"/>
        <rFont val="Times New Roman"/>
        <family val="1"/>
      </rPr>
      <t>SD</t>
    </r>
  </si>
  <si>
    <t>Sales gained by the upstream supplier divided by revenue lost by downstream partner increasing prices.</t>
  </si>
  <si>
    <t>Motivation</t>
  </si>
  <si>
    <t>Diagram of the market</t>
  </si>
  <si>
    <t>A raises the price it charges to C. C loses sales to end customers (by charging higher prices or producing less), but B gets some of those sales.</t>
  </si>
  <si>
    <t>B raises price. Customers purchase less from B and more from C. C has to buy more input from A, giving A more revenue.</t>
  </si>
  <si>
    <t>C raises price. Customers purchase less from C and more from B.</t>
  </si>
  <si>
    <t>Average input price charged by Firm U (the upstream merging firm) to all downstream (rival) firms, excluding Firm D (the downstream merging firm).</t>
  </si>
  <si>
    <t>U: Upstream supplier</t>
  </si>
  <si>
    <t>D: Downstream producer</t>
  </si>
  <si>
    <t>R: Downstream rival</t>
  </si>
  <si>
    <t>U and D merge.</t>
  </si>
  <si>
    <t>U</t>
  </si>
  <si>
    <t>D</t>
  </si>
  <si>
    <t>R</t>
  </si>
  <si>
    <t>% change in price of downstream rival divided by % change in price of upstream supplier.</t>
  </si>
  <si>
    <t>% change in upstream supplier's share of rival's input purchases divided by % change in price of upstream supplier.</t>
  </si>
  <si>
    <t>When input prices increase, how much do rivals pass through in their product?</t>
  </si>
  <si>
    <t>When input prices increase, how much do rivals shift their purchases to other suppliers?</t>
  </si>
  <si>
    <r>
      <t>Firm R’s  (the downstream rival) variable profit margin (i.e., its price less its variable cost, P</t>
    </r>
    <r>
      <rPr>
        <vertAlign val="subscript"/>
        <sz val="11"/>
        <color rgb="FF1F1F1F"/>
        <rFont val="Times New Roman"/>
        <family val="1"/>
      </rPr>
      <t>R</t>
    </r>
    <r>
      <rPr>
        <sz val="11"/>
        <color rgb="FF1F1F1F"/>
        <rFont val="Times New Roman"/>
        <family val="1"/>
      </rPr>
      <t xml:space="preserve"> − C</t>
    </r>
    <r>
      <rPr>
        <vertAlign val="subscript"/>
        <sz val="11"/>
        <color rgb="FF1F1F1F"/>
        <rFont val="Times New Roman"/>
        <family val="1"/>
      </rPr>
      <t>R</t>
    </r>
    <r>
      <rPr>
        <sz val="11"/>
        <color rgb="FF1F1F1F"/>
        <rFont val="Times New Roman"/>
        <family val="1"/>
      </rPr>
      <t>) expressed as a percentage of its price. That is, M</t>
    </r>
    <r>
      <rPr>
        <vertAlign val="subscript"/>
        <sz val="11"/>
        <color rgb="FF1F1F1F"/>
        <rFont val="Times New Roman"/>
        <family val="1"/>
      </rPr>
      <t>R</t>
    </r>
    <r>
      <rPr>
        <sz val="11"/>
        <color rgb="FF1F1F1F"/>
        <rFont val="Times New Roman"/>
        <family val="1"/>
      </rPr>
      <t xml:space="preserve"> = (P</t>
    </r>
    <r>
      <rPr>
        <vertAlign val="subscript"/>
        <sz val="11"/>
        <color rgb="FF1F1F1F"/>
        <rFont val="Times New Roman"/>
        <family val="1"/>
      </rPr>
      <t>R</t>
    </r>
    <r>
      <rPr>
        <sz val="11"/>
        <color rgb="FF1F1F1F"/>
        <rFont val="Times New Roman"/>
        <family val="1"/>
      </rPr>
      <t xml:space="preserve"> − C</t>
    </r>
    <r>
      <rPr>
        <vertAlign val="subscript"/>
        <sz val="11"/>
        <color rgb="FF1F1F1F"/>
        <rFont val="Times New Roman"/>
        <family val="1"/>
      </rPr>
      <t>R</t>
    </r>
    <r>
      <rPr>
        <sz val="11"/>
        <color rgb="FF1F1F1F"/>
        <rFont val="Times New Roman"/>
        <family val="1"/>
      </rPr>
      <t>) / P</t>
    </r>
    <r>
      <rPr>
        <vertAlign val="subscript"/>
        <sz val="11"/>
        <color rgb="FF1F1F1F"/>
        <rFont val="Times New Roman"/>
        <family val="1"/>
      </rPr>
      <t>R</t>
    </r>
    <r>
      <rPr>
        <sz val="11"/>
        <color rgb="FF1F1F1F"/>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</si>
</sst>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Aptos Narrow"/>
      <family val="2"/>
      <scheme val="minor"/>
    </font>
    <font>
      <sz val="11"/>
      <color theme="1"/>
      <name val="Times New Roman"/>
      <family val="1"/>
    </font>
    <font>
      <b/>
      <sz val="11"/>
      <color rgb="FF1F1F1F"/>
      <name val="Times New Roman"/>
      <family val="1"/>
    </font>
    <font>
      <sz val="11"/>
      <color rgb="FF1F1F1F"/>
      <name val="Times New Roman"/>
      <family val="1"/>
    </font>
    <font>
      <vertAlign val="subscript"/>
      <sz val="11"/>
      <color rgb="FF1F1F1F"/>
      <name val="Times New Roman"/>
      <family val="1"/>
    </font>
    <font>
      <i/>
      <sz val="11"/>
      <color rgb="FF1F1F1F"/>
      <name val="Times New Roman"/>
      <family val="1"/>
    </font>
    <font>
      <vertAlign val="superscript"/>
      <sz val="11"/>
      <color rgb="FF1F1F1F"/>
      <name val="Times New Roman"/>
      <family val="1"/>
    </font>
    <font>
      <sz val="10"/>
      <color rgb="FF444746"/>
      <name val="Times New Roman"/>
      <family val="1"/>
    </font>
    <font>
      <b/>
      <i/>
      <sz val="11"/>
      <color rgb="FF1F1F1F"/>
      <name val="Times New Roman"/>
      <family val="1"/>
    </font>
    <font>
      <b/>
      <vertAlign val="subscript"/>
      <sz val="11"/>
      <color rgb="FF1F1F1F"/>
      <name val="Times New Roman"/>
      <family val="1"/>
    </font>
    <font>
      <b/>
      <vertAlign val="superscript"/>
      <sz val="11"/>
      <color rgb="FF1F1F1F"/>
      <name val="Times New Roman"/>
      <family val="1"/>
    </font>
    <font>
      <sz val="11"/>
      <name val="Times New Roman"/>
      <family val="1"/>
    </font>
    <font>
      <b/>
      <sz val="11"/>
      <name val="Times New Roman"/>
      <family val="1"/>
    </font>
    <font>
      <sz val="10"/>
      <name val="Times New Roman"/>
      <family val="1"/>
    </font>
    <font>
      <vertAlign val="subscript"/>
      <sz val="11"/>
      <name val="Times New Roman"/>
      <family val="1"/>
    </font>
    <font>
      <b/>
      <vertAlign val="subscript"/>
      <sz val="11"/>
      <name val="Times New Roman"/>
      <family val="1"/>
    </font>
    <font>
      <sz val="12"/>
      <color theme="1"/>
      <name val="Times New Roman"/>
      <family val="1"/>
    </font>
    <font>
      <b/>
      <sz val="12"/>
      <color theme="1"/>
      <name val="Times New Roman"/>
      <family val="1"/>
    </font>
    <font>
      <sz val="12"/>
      <color theme="1"/>
      <name val="Aptos Narrow"/>
      <family val="2"/>
      <scheme val="minor"/>
    </font>
    <font>
      <b/>
      <sz val="16"/>
      <color theme="1"/>
      <name val="Times New Roman"/>
      <family val="1"/>
    </font>
  </fonts>
  <fills count="7">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1" fillId="0" borderId="0" xfId="0" applyFont="1"/>
    <xf numFmtId="0" fontId="2" fillId="0" borderId="1" xfId="0" applyFont="1" applyBorder="1" applyAlignment="1">
      <alignment horizontal="left" vertical="center" readingOrder="1"/>
    </xf>
    <xf numFmtId="0" fontId="3" fillId="0" borderId="1" xfId="0" applyFont="1" applyBorder="1" applyAlignment="1">
      <alignment horizontal="left" vertical="center" wrapText="1" readingOrder="1"/>
    </xf>
    <xf numFmtId="0" fontId="1" fillId="0" borderId="0" xfId="0" applyFont="1" applyAlignment="1">
      <alignment wrapText="1"/>
    </xf>
    <xf numFmtId="0" fontId="0" fillId="0" borderId="0" xfId="0" applyAlignment="1">
      <alignment wrapText="1"/>
    </xf>
    <xf numFmtId="0" fontId="2" fillId="2" borderId="1" xfId="0" applyFont="1" applyFill="1" applyBorder="1" applyAlignment="1">
      <alignment horizontal="centerContinuous" vertical="center"/>
    </xf>
    <xf numFmtId="0" fontId="2" fillId="2" borderId="1" xfId="0" applyFont="1" applyFill="1" applyBorder="1" applyAlignment="1">
      <alignment horizontal="centerContinuous" vertical="center" wrapText="1"/>
    </xf>
    <xf numFmtId="0" fontId="3" fillId="2" borderId="1" xfId="0" applyFont="1" applyFill="1" applyBorder="1" applyAlignment="1">
      <alignment horizontal="centerContinuous" vertical="center"/>
    </xf>
    <xf numFmtId="0" fontId="2" fillId="3" borderId="1" xfId="0" applyFont="1" applyFill="1" applyBorder="1" applyAlignment="1">
      <alignment horizontal="centerContinuous" vertical="center"/>
    </xf>
    <xf numFmtId="0" fontId="2" fillId="3" borderId="1" xfId="0" applyFont="1" applyFill="1" applyBorder="1" applyAlignment="1">
      <alignment horizontal="centerContinuous" vertical="center" wrapText="1"/>
    </xf>
    <xf numFmtId="0" fontId="3" fillId="3" borderId="1" xfId="0" applyFont="1" applyFill="1" applyBorder="1" applyAlignment="1">
      <alignment horizontal="centerContinuous" vertical="center"/>
    </xf>
    <xf numFmtId="0" fontId="3" fillId="3" borderId="1" xfId="0" applyFont="1" applyFill="1" applyBorder="1" applyAlignment="1">
      <alignment horizontal="centerContinuous" vertical="center" wrapText="1"/>
    </xf>
    <xf numFmtId="0" fontId="3" fillId="0" borderId="1" xfId="0" applyFont="1" applyBorder="1" applyAlignment="1">
      <alignment horizontal="center" vertical="center" readingOrder="1"/>
    </xf>
    <xf numFmtId="0" fontId="1" fillId="0" borderId="0" xfId="0" applyFont="1" applyAlignment="1">
      <alignment horizontal="center"/>
    </xf>
    <xf numFmtId="0" fontId="2" fillId="2" borderId="1" xfId="0" applyFont="1" applyFill="1" applyBorder="1" applyAlignment="1">
      <alignment horizontal="center" vertical="center" wrapText="1" readingOrder="1"/>
    </xf>
    <xf numFmtId="0" fontId="2" fillId="2" borderId="1" xfId="0" applyFont="1" applyFill="1" applyBorder="1" applyAlignment="1">
      <alignment horizontal="center" vertical="center" readingOrder="1"/>
    </xf>
    <xf numFmtId="0" fontId="11" fillId="0" borderId="0" xfId="0" applyFont="1"/>
    <xf numFmtId="0" fontId="12" fillId="3" borderId="1" xfId="0" applyFont="1" applyFill="1" applyBorder="1" applyAlignment="1">
      <alignment horizontal="centerContinuous" vertical="center"/>
    </xf>
    <xf numFmtId="0" fontId="12" fillId="2" borderId="1" xfId="0" applyFont="1" applyFill="1" applyBorder="1" applyAlignment="1">
      <alignment horizontal="centerContinuous" vertical="center" wrapText="1"/>
    </xf>
    <xf numFmtId="0" fontId="7" fillId="4" borderId="1" xfId="0" applyFont="1" applyFill="1" applyBorder="1" applyAlignment="1">
      <alignment horizontal="left" vertical="center" readingOrder="1"/>
    </xf>
    <xf numFmtId="10" fontId="3" fillId="4" borderId="1" xfId="0" applyNumberFormat="1" applyFont="1" applyFill="1" applyBorder="1" applyAlignment="1">
      <alignment horizontal="left" vertical="center" readingOrder="1"/>
    </xf>
    <xf numFmtId="0" fontId="3" fillId="4" borderId="1" xfId="0" applyFont="1" applyFill="1" applyBorder="1" applyAlignment="1">
      <alignment horizontal="left" vertical="center" readingOrder="1"/>
    </xf>
    <xf numFmtId="164" fontId="7" fillId="4" borderId="1" xfId="0" applyNumberFormat="1" applyFont="1" applyFill="1" applyBorder="1" applyAlignment="1">
      <alignment horizontal="left" vertical="center" readingOrder="1"/>
    </xf>
    <xf numFmtId="0" fontId="13" fillId="4" borderId="1" xfId="0" applyFont="1" applyFill="1" applyBorder="1" applyAlignment="1">
      <alignment horizontal="left" vertical="center" readingOrder="1"/>
    </xf>
    <xf numFmtId="0" fontId="3" fillId="4" borderId="1" xfId="0" applyFont="1" applyFill="1" applyBorder="1" applyAlignment="1">
      <alignment horizontal="center" vertical="center" readingOrder="1"/>
    </xf>
    <xf numFmtId="0" fontId="3" fillId="5" borderId="1" xfId="0" applyFont="1" applyFill="1" applyBorder="1" applyAlignment="1">
      <alignment horizontal="center" vertical="center" readingOrder="1"/>
    </xf>
    <xf numFmtId="0" fontId="3" fillId="5" borderId="1" xfId="0" applyFont="1" applyFill="1" applyBorder="1" applyAlignment="1">
      <alignment horizontal="left" vertical="center" readingOrder="1"/>
    </xf>
    <xf numFmtId="0" fontId="3" fillId="6" borderId="1" xfId="0" applyFont="1" applyFill="1" applyBorder="1" applyAlignment="1">
      <alignment horizontal="center" vertical="center" readingOrder="1"/>
    </xf>
    <xf numFmtId="0" fontId="16" fillId="0" borderId="0" xfId="0" applyFont="1"/>
    <xf numFmtId="0" fontId="17" fillId="0" borderId="0" xfId="0" applyFont="1"/>
    <xf numFmtId="0" fontId="16" fillId="0" borderId="0" xfId="0" applyFont="1" applyAlignment="1">
      <alignment horizontal="center"/>
    </xf>
    <xf numFmtId="0" fontId="16" fillId="0" borderId="0" xfId="0" applyFont="1" applyAlignment="1">
      <alignment horizontal="left"/>
    </xf>
    <xf numFmtId="0" fontId="16" fillId="0" borderId="0" xfId="0" applyFont="1" applyAlignment="1">
      <alignment vertical="top"/>
    </xf>
    <xf numFmtId="0" fontId="18" fillId="0" borderId="0" xfId="0" applyFont="1"/>
    <xf numFmtId="0" fontId="19" fillId="0" borderId="0" xfId="0" applyFont="1" applyAlignment="1">
      <alignment horizontal="center" vertical="center"/>
    </xf>
    <xf numFmtId="0" fontId="12" fillId="5" borderId="1" xfId="0" applyFont="1" applyFill="1" applyBorder="1" applyAlignment="1">
      <alignment horizontal="left" vertical="center" readingOrder="1"/>
    </xf>
    <xf numFmtId="0" fontId="11" fillId="5" borderId="1" xfId="0" applyFont="1" applyFill="1" applyBorder="1" applyAlignment="1">
      <alignment horizontal="left" vertical="center"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6</xdr:col>
      <xdr:colOff>135890</xdr:colOff>
      <xdr:row>6</xdr:row>
      <xdr:rowOff>327660</xdr:rowOff>
    </xdr:from>
    <xdr:to>
      <xdr:col>6</xdr:col>
      <xdr:colOff>137160</xdr:colOff>
      <xdr:row>9</xdr:row>
      <xdr:rowOff>10160</xdr:rowOff>
    </xdr:to>
    <xdr:cxnSp macro="">
      <xdr:nvCxnSpPr>
        <xdr:cNvPr id="3" name="Straight Connector 2">
          <a:extLst>
            <a:ext uri="{FF2B5EF4-FFF2-40B4-BE49-F238E27FC236}">
              <a16:creationId xmlns:a16="http://schemas.microsoft.com/office/drawing/2014/main" id="{DDA0CB1C-1B2E-1309-68F4-0049E77FC224}"/>
            </a:ext>
          </a:extLst>
        </xdr:cNvPr>
        <xdr:cNvCxnSpPr/>
      </xdr:nvCxnSpPr>
      <xdr:spPr>
        <a:xfrm flipH="1">
          <a:off x="14110970" y="1706880"/>
          <a:ext cx="1270" cy="650240"/>
        </a:xfrm>
        <a:prstGeom prst="line">
          <a:avLst/>
        </a:prstGeom>
        <a:ln>
          <a:solidFill>
            <a:srgbClr val="C0000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7620</xdr:colOff>
      <xdr:row>6</xdr:row>
      <xdr:rowOff>334010</xdr:rowOff>
    </xdr:from>
    <xdr:to>
      <xdr:col>8</xdr:col>
      <xdr:colOff>59690</xdr:colOff>
      <xdr:row>9</xdr:row>
      <xdr:rowOff>67310</xdr:rowOff>
    </xdr:to>
    <xdr:cxnSp macro="">
      <xdr:nvCxnSpPr>
        <xdr:cNvPr id="9" name="Straight Connector 8">
          <a:extLst>
            <a:ext uri="{FF2B5EF4-FFF2-40B4-BE49-F238E27FC236}">
              <a16:creationId xmlns:a16="http://schemas.microsoft.com/office/drawing/2014/main" id="{A1C4D519-A9A1-062A-EB70-A071951E094A}"/>
            </a:ext>
          </a:extLst>
        </xdr:cNvPr>
        <xdr:cNvCxnSpPr/>
      </xdr:nvCxnSpPr>
      <xdr:spPr>
        <a:xfrm>
          <a:off x="14234160" y="1713230"/>
          <a:ext cx="798830" cy="701040"/>
        </a:xfrm>
        <a:prstGeom prst="line">
          <a:avLst/>
        </a:prstGeom>
        <a:ln w="19050" cap="flat" cmpd="sng" algn="ctr">
          <a:solidFill>
            <a:schemeClr val="tx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Steven VanOmmeren" id="{CD3C3615-A0F3-417B-A72A-50DA45A0E2AE}" userId="S::SVanOmmeren@thinkbrg.com::8a1d9e65-0cc8-4cd6-bacf-dd55eaafeb3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3" dT="2026-02-11T20:21:29.48" personId="{CD3C3615-A0F3-417B-A72A-50DA45A0E2AE}" id="{3CDD1AFD-0ED0-4DFA-9C38-C7C836BBC766}">
    <text>The paper has a mistake in the formula, writing (P_R - C_R) = P_R instead of (P_R - C_R) / P_R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61E38-FF06-4297-A99E-BBBB36D32FA0}">
  <dimension ref="B1:J38"/>
  <sheetViews>
    <sheetView showGridLines="0" tabSelected="1" zoomScale="85" zoomScaleNormal="115" workbookViewId="0"/>
  </sheetViews>
  <sheetFormatPr defaultColWidth="8.90625" defaultRowHeight="14" x14ac:dyDescent="0.3"/>
  <cols>
    <col min="1" max="1" width="8.90625" style="1"/>
    <col min="2" max="2" width="22.453125" style="4" bestFit="1" customWidth="1"/>
    <col min="3" max="3" width="11.08984375" style="1" bestFit="1" customWidth="1"/>
    <col min="4" max="4" width="76.81640625" style="4" bestFit="1" customWidth="1"/>
    <col min="5" max="5" width="12.1796875" style="1" bestFit="1" customWidth="1"/>
    <col min="6" max="6" width="50.6328125" style="4" customWidth="1"/>
    <col min="7" max="7" width="3.6328125" style="1" customWidth="1"/>
    <col min="8" max="8" width="10.6328125" style="1" customWidth="1"/>
    <col min="9" max="9" width="3.6328125" style="1" customWidth="1"/>
    <col min="10" max="16384" width="8.90625" style="1"/>
  </cols>
  <sheetData>
    <row r="1" spans="2:10" ht="15.5" x14ac:dyDescent="0.35">
      <c r="G1" s="29"/>
      <c r="H1" s="29"/>
      <c r="I1" s="29"/>
      <c r="J1" s="29"/>
    </row>
    <row r="2" spans="2:10" ht="15.5" x14ac:dyDescent="0.35">
      <c r="B2" s="9" t="s">
        <v>77</v>
      </c>
      <c r="C2" s="9"/>
      <c r="D2" s="12"/>
      <c r="E2" s="11"/>
      <c r="F2"/>
      <c r="G2" s="30" t="s">
        <v>90</v>
      </c>
      <c r="H2" s="29"/>
      <c r="I2" s="29"/>
      <c r="J2" s="29"/>
    </row>
    <row r="3" spans="2:10" s="14" customFormat="1" ht="15.5" x14ac:dyDescent="0.35">
      <c r="B3" s="15" t="s">
        <v>10</v>
      </c>
      <c r="C3" s="16" t="s">
        <v>0</v>
      </c>
      <c r="D3" s="15" t="s">
        <v>2</v>
      </c>
      <c r="E3" s="15" t="s">
        <v>1</v>
      </c>
      <c r="F3"/>
      <c r="G3" s="32" t="s">
        <v>95</v>
      </c>
      <c r="H3" s="31"/>
      <c r="I3" s="31"/>
      <c r="J3" s="31"/>
    </row>
    <row r="4" spans="2:10" ht="17" x14ac:dyDescent="0.35">
      <c r="B4" s="3" t="s">
        <v>11</v>
      </c>
      <c r="C4" s="26" t="s">
        <v>3</v>
      </c>
      <c r="D4" s="3" t="s">
        <v>25</v>
      </c>
      <c r="E4" s="25">
        <v>20</v>
      </c>
      <c r="F4"/>
      <c r="G4" s="29" t="s">
        <v>96</v>
      </c>
      <c r="H4" s="29"/>
      <c r="I4" s="29"/>
      <c r="J4" s="29"/>
    </row>
    <row r="5" spans="2:10" ht="17" x14ac:dyDescent="0.35">
      <c r="B5" s="3" t="s">
        <v>11</v>
      </c>
      <c r="C5" s="26" t="s">
        <v>4</v>
      </c>
      <c r="D5" s="3" t="s">
        <v>24</v>
      </c>
      <c r="E5" s="25">
        <f>E4</f>
        <v>20</v>
      </c>
      <c r="F5"/>
      <c r="G5" s="29" t="s">
        <v>97</v>
      </c>
      <c r="H5" s="29"/>
      <c r="I5" s="29"/>
      <c r="J5" s="29"/>
    </row>
    <row r="6" spans="2:10" ht="28" x14ac:dyDescent="0.35">
      <c r="B6" s="3" t="s">
        <v>12</v>
      </c>
      <c r="C6" s="26" t="s">
        <v>5</v>
      </c>
      <c r="D6" s="3" t="s">
        <v>23</v>
      </c>
      <c r="E6" s="25">
        <f>E4*0.5</f>
        <v>10</v>
      </c>
      <c r="F6"/>
      <c r="G6" s="33" t="s">
        <v>98</v>
      </c>
      <c r="H6" s="29"/>
      <c r="I6" s="29"/>
      <c r="J6" s="29"/>
    </row>
    <row r="7" spans="2:10" ht="28" x14ac:dyDescent="0.35">
      <c r="B7" s="3" t="s">
        <v>12</v>
      </c>
      <c r="C7" s="26" t="s">
        <v>6</v>
      </c>
      <c r="D7" s="3" t="s">
        <v>22</v>
      </c>
      <c r="E7" s="25">
        <f>E5*0.5</f>
        <v>10</v>
      </c>
      <c r="F7"/>
      <c r="G7" s="35" t="s">
        <v>99</v>
      </c>
      <c r="H7" s="35"/>
      <c r="I7" s="35"/>
      <c r="J7" s="29"/>
    </row>
    <row r="8" spans="2:10" ht="28" x14ac:dyDescent="0.35">
      <c r="B8" s="3" t="s">
        <v>13</v>
      </c>
      <c r="C8" s="28" t="s">
        <v>7</v>
      </c>
      <c r="D8" s="3" t="s">
        <v>94</v>
      </c>
      <c r="E8" s="25">
        <f>E4*0.5</f>
        <v>10</v>
      </c>
      <c r="F8"/>
      <c r="G8" s="35"/>
      <c r="H8" s="35"/>
      <c r="I8" s="35"/>
      <c r="J8" s="29"/>
    </row>
    <row r="9" spans="2:10" customFormat="1" ht="20" x14ac:dyDescent="0.4">
      <c r="B9" s="5"/>
      <c r="D9" s="5"/>
      <c r="G9" s="35"/>
      <c r="H9" s="35"/>
      <c r="I9" s="35"/>
      <c r="J9" s="34"/>
    </row>
    <row r="10" spans="2:10" ht="20" x14ac:dyDescent="0.35">
      <c r="B10" s="9" t="s">
        <v>78</v>
      </c>
      <c r="C10" s="9"/>
      <c r="D10" s="12"/>
      <c r="E10" s="11"/>
      <c r="F10"/>
      <c r="G10" s="35" t="s">
        <v>100</v>
      </c>
      <c r="H10" s="35"/>
      <c r="I10" s="35" t="s">
        <v>101</v>
      </c>
      <c r="J10" s="29"/>
    </row>
    <row r="11" spans="2:10" s="14" customFormat="1" ht="15.5" x14ac:dyDescent="0.35">
      <c r="B11" s="15" t="s">
        <v>10</v>
      </c>
      <c r="C11" s="16" t="s">
        <v>0</v>
      </c>
      <c r="D11" s="15" t="s">
        <v>2</v>
      </c>
      <c r="E11" s="15" t="s">
        <v>1</v>
      </c>
      <c r="F11"/>
      <c r="G11" s="31"/>
      <c r="H11" s="31"/>
      <c r="I11" s="31"/>
      <c r="J11" s="31"/>
    </row>
    <row r="12" spans="2:10" ht="31" x14ac:dyDescent="0.35">
      <c r="B12" s="3" t="s">
        <v>14</v>
      </c>
      <c r="C12" s="26" t="s">
        <v>8</v>
      </c>
      <c r="D12" s="3" t="s">
        <v>21</v>
      </c>
      <c r="E12" s="25">
        <v>0.5</v>
      </c>
      <c r="F12"/>
      <c r="G12" s="29"/>
      <c r="H12" s="29"/>
      <c r="I12" s="29"/>
      <c r="J12" s="29"/>
    </row>
    <row r="13" spans="2:10" ht="31" x14ac:dyDescent="0.35">
      <c r="B13" s="3" t="s">
        <v>14</v>
      </c>
      <c r="C13" s="28" t="s">
        <v>9</v>
      </c>
      <c r="D13" s="3" t="s">
        <v>106</v>
      </c>
      <c r="E13" s="25">
        <v>0.5</v>
      </c>
      <c r="F13"/>
    </row>
    <row r="14" spans="2:10" ht="48" x14ac:dyDescent="0.35">
      <c r="B14" s="3" t="s">
        <v>16</v>
      </c>
      <c r="C14" s="26" t="s">
        <v>15</v>
      </c>
      <c r="D14" s="3" t="s">
        <v>20</v>
      </c>
      <c r="E14" s="25">
        <v>0.5</v>
      </c>
      <c r="F14"/>
    </row>
    <row r="15" spans="2:10" ht="28" x14ac:dyDescent="0.35">
      <c r="B15" s="3" t="s">
        <v>18</v>
      </c>
      <c r="C15" s="26" t="s">
        <v>17</v>
      </c>
      <c r="D15" s="3" t="s">
        <v>19</v>
      </c>
      <c r="E15" s="25">
        <v>0.5</v>
      </c>
      <c r="F15"/>
    </row>
    <row r="16" spans="2:10" customFormat="1" ht="14.5" x14ac:dyDescent="0.35">
      <c r="B16" s="5"/>
      <c r="D16" s="5"/>
      <c r="F16" s="5"/>
    </row>
    <row r="17" spans="2:6" x14ac:dyDescent="0.3">
      <c r="B17" s="9" t="s">
        <v>79</v>
      </c>
      <c r="C17" s="9"/>
      <c r="D17" s="12"/>
      <c r="E17" s="11"/>
      <c r="F17" s="12"/>
    </row>
    <row r="18" spans="2:6" s="14" customFormat="1" x14ac:dyDescent="0.3">
      <c r="B18" s="15" t="s">
        <v>10</v>
      </c>
      <c r="C18" s="16" t="s">
        <v>0</v>
      </c>
      <c r="D18" s="15" t="s">
        <v>2</v>
      </c>
      <c r="E18" s="15" t="s">
        <v>1</v>
      </c>
      <c r="F18" s="15" t="s">
        <v>89</v>
      </c>
    </row>
    <row r="19" spans="2:6" ht="28" x14ac:dyDescent="0.3">
      <c r="B19" s="3" t="s">
        <v>27</v>
      </c>
      <c r="C19" s="26" t="s">
        <v>26</v>
      </c>
      <c r="D19" s="3" t="s">
        <v>28</v>
      </c>
      <c r="E19" s="25">
        <v>0.4</v>
      </c>
      <c r="F19" s="3" t="s">
        <v>93</v>
      </c>
    </row>
    <row r="20" spans="2:6" ht="42" x14ac:dyDescent="0.3">
      <c r="B20" s="3" t="s">
        <v>27</v>
      </c>
      <c r="C20" s="28" t="s">
        <v>29</v>
      </c>
      <c r="D20" s="3" t="s">
        <v>88</v>
      </c>
      <c r="E20" s="25">
        <v>0.25</v>
      </c>
      <c r="F20" s="3" t="s">
        <v>92</v>
      </c>
    </row>
    <row r="21" spans="2:6" ht="42" x14ac:dyDescent="0.3">
      <c r="B21" s="3" t="s">
        <v>27</v>
      </c>
      <c r="C21" s="26" t="s">
        <v>30</v>
      </c>
      <c r="D21" s="3" t="s">
        <v>31</v>
      </c>
      <c r="E21" s="25">
        <v>0.4</v>
      </c>
      <c r="F21" s="3" t="s">
        <v>91</v>
      </c>
    </row>
    <row r="22" spans="2:6" customFormat="1" ht="14.5" x14ac:dyDescent="0.35">
      <c r="B22" s="5"/>
      <c r="D22" s="5"/>
      <c r="F22" s="5"/>
    </row>
    <row r="23" spans="2:6" ht="14.5" x14ac:dyDescent="0.35">
      <c r="B23" s="9" t="s">
        <v>80</v>
      </c>
      <c r="C23" s="9"/>
      <c r="D23" s="12"/>
      <c r="E23" s="11"/>
      <c r="F23"/>
    </row>
    <row r="24" spans="2:6" s="14" customFormat="1" ht="14.5" x14ac:dyDescent="0.35">
      <c r="B24" s="15" t="s">
        <v>10</v>
      </c>
      <c r="C24" s="16" t="s">
        <v>0</v>
      </c>
      <c r="D24" s="15" t="s">
        <v>2</v>
      </c>
      <c r="E24" s="15" t="s">
        <v>1</v>
      </c>
      <c r="F24"/>
    </row>
    <row r="25" spans="2:6" ht="65" x14ac:dyDescent="0.35">
      <c r="B25" s="3" t="s">
        <v>34</v>
      </c>
      <c r="C25" s="13" t="s">
        <v>32</v>
      </c>
      <c r="D25" s="3" t="s">
        <v>36</v>
      </c>
      <c r="E25" s="25">
        <v>0.5</v>
      </c>
      <c r="F25"/>
    </row>
    <row r="26" spans="2:6" ht="65" x14ac:dyDescent="0.35">
      <c r="B26" s="3" t="s">
        <v>35</v>
      </c>
      <c r="C26" s="13" t="s">
        <v>33</v>
      </c>
      <c r="D26" s="3" t="s">
        <v>37</v>
      </c>
      <c r="E26" s="25">
        <v>0.5</v>
      </c>
      <c r="F26"/>
    </row>
    <row r="27" spans="2:6" ht="14.5" x14ac:dyDescent="0.35">
      <c r="F27"/>
    </row>
    <row r="28" spans="2:6" ht="14.5" x14ac:dyDescent="0.35">
      <c r="B28" s="9" t="s">
        <v>81</v>
      </c>
      <c r="C28" s="9"/>
      <c r="D28" s="12"/>
      <c r="E28" s="11"/>
      <c r="F28"/>
    </row>
    <row r="29" spans="2:6" s="14" customFormat="1" ht="14.5" x14ac:dyDescent="0.35">
      <c r="B29" s="15" t="s">
        <v>10</v>
      </c>
      <c r="C29" s="16" t="s">
        <v>0</v>
      </c>
      <c r="D29" s="15" t="s">
        <v>2</v>
      </c>
      <c r="E29" s="15" t="s">
        <v>1</v>
      </c>
      <c r="F29"/>
    </row>
    <row r="30" spans="2:6" ht="28" x14ac:dyDescent="0.35">
      <c r="B30" s="3" t="s">
        <v>50</v>
      </c>
      <c r="C30" s="13" t="s">
        <v>49</v>
      </c>
      <c r="D30" s="3" t="s">
        <v>51</v>
      </c>
      <c r="E30" s="25"/>
      <c r="F30"/>
    </row>
    <row r="31" spans="2:6" ht="28" x14ac:dyDescent="0.35">
      <c r="B31" s="3" t="s">
        <v>53</v>
      </c>
      <c r="C31" s="13" t="s">
        <v>52</v>
      </c>
      <c r="D31" s="3" t="s">
        <v>54</v>
      </c>
      <c r="E31" s="25"/>
      <c r="F31"/>
    </row>
    <row r="32" spans="2:6" customFormat="1" ht="14.5" x14ac:dyDescent="0.35"/>
    <row r="33" spans="2:6" ht="14.5" x14ac:dyDescent="0.35">
      <c r="B33" s="9" t="s">
        <v>82</v>
      </c>
      <c r="C33" s="9"/>
      <c r="D33" s="12"/>
      <c r="E33" s="11"/>
      <c r="F33"/>
    </row>
    <row r="34" spans="2:6" s="14" customFormat="1" ht="14.5" x14ac:dyDescent="0.35">
      <c r="B34" s="15" t="s">
        <v>10</v>
      </c>
      <c r="C34" s="16" t="s">
        <v>0</v>
      </c>
      <c r="D34" s="15" t="s">
        <v>2</v>
      </c>
      <c r="E34" s="15" t="s">
        <v>1</v>
      </c>
      <c r="F34"/>
    </row>
    <row r="35" spans="2:6" ht="62" x14ac:dyDescent="0.35">
      <c r="B35" s="3" t="s">
        <v>39</v>
      </c>
      <c r="C35" s="13" t="s">
        <v>38</v>
      </c>
      <c r="D35" s="3" t="s">
        <v>40</v>
      </c>
      <c r="E35" s="25">
        <v>0.25</v>
      </c>
      <c r="F35"/>
    </row>
    <row r="36" spans="2:6" ht="28" x14ac:dyDescent="0.35">
      <c r="B36" s="3" t="s">
        <v>42</v>
      </c>
      <c r="C36" s="13" t="s">
        <v>41</v>
      </c>
      <c r="D36" s="3" t="s">
        <v>43</v>
      </c>
      <c r="E36" s="25">
        <v>1</v>
      </c>
      <c r="F36"/>
    </row>
    <row r="37" spans="2:6" ht="31" x14ac:dyDescent="0.35">
      <c r="B37" s="3" t="s">
        <v>46</v>
      </c>
      <c r="C37" s="13" t="s">
        <v>44</v>
      </c>
      <c r="D37" s="3" t="s">
        <v>47</v>
      </c>
      <c r="E37" s="25">
        <v>2.5</v>
      </c>
      <c r="F37"/>
    </row>
    <row r="38" spans="2:6" ht="45" x14ac:dyDescent="0.35">
      <c r="B38" s="3" t="s">
        <v>46</v>
      </c>
      <c r="C38" s="13" t="s">
        <v>45</v>
      </c>
      <c r="D38" s="3" t="s">
        <v>48</v>
      </c>
      <c r="E38" s="25">
        <v>2.5</v>
      </c>
      <c r="F38"/>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BF9D7-C7BD-48FF-A601-DCDEE1DCA8CE}">
  <dimension ref="B2:F5"/>
  <sheetViews>
    <sheetView showGridLines="0" zoomScale="125" zoomScaleNormal="160" workbookViewId="0">
      <selection activeCell="F6" sqref="F6"/>
    </sheetView>
  </sheetViews>
  <sheetFormatPr defaultColWidth="8.90625" defaultRowHeight="14" x14ac:dyDescent="0.3"/>
  <cols>
    <col min="1" max="1" width="8.90625" style="17"/>
    <col min="2" max="2" width="12.81640625" style="17" customWidth="1"/>
    <col min="3" max="3" width="14" style="17" bestFit="1" customWidth="1"/>
    <col min="4" max="5" width="50.6328125" style="17" customWidth="1"/>
    <col min="6" max="6" width="12.81640625" style="17" customWidth="1"/>
    <col min="7" max="16384" width="8.90625" style="17"/>
  </cols>
  <sheetData>
    <row r="2" spans="2:6" x14ac:dyDescent="0.3">
      <c r="B2" s="9" t="s">
        <v>69</v>
      </c>
      <c r="C2" s="18"/>
      <c r="D2" s="18"/>
      <c r="E2" s="18"/>
      <c r="F2" s="18"/>
    </row>
    <row r="3" spans="2:6" x14ac:dyDescent="0.3">
      <c r="B3" s="7" t="s">
        <v>85</v>
      </c>
      <c r="C3" s="19"/>
      <c r="D3" s="19"/>
      <c r="E3" s="19"/>
      <c r="F3" s="19"/>
    </row>
    <row r="4" spans="2:6" ht="28" x14ac:dyDescent="0.3">
      <c r="B4" s="36" t="s">
        <v>86</v>
      </c>
      <c r="C4" s="27" t="s">
        <v>84</v>
      </c>
      <c r="D4" s="3" t="s">
        <v>102</v>
      </c>
      <c r="E4" s="3" t="s">
        <v>104</v>
      </c>
      <c r="F4" s="24">
        <f>Inputs!E26 * Inputs!E7 / Inputs!E5</f>
        <v>0.25</v>
      </c>
    </row>
    <row r="5" spans="2:6" ht="42" x14ac:dyDescent="0.3">
      <c r="B5" s="36" t="s">
        <v>87</v>
      </c>
      <c r="C5" s="37" t="s">
        <v>83</v>
      </c>
      <c r="D5" s="3" t="s">
        <v>103</v>
      </c>
      <c r="E5" s="3" t="s">
        <v>105</v>
      </c>
      <c r="F5" s="24">
        <f xml:space="preserve"> 1 / Inputs!E14 - Inputs!E36 * Inputs!E35</f>
        <v>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8F4DD-AB28-4A23-B49F-1C8E5E7B2A9A}">
  <dimension ref="B2:E11"/>
  <sheetViews>
    <sheetView showGridLines="0" zoomScale="125" zoomScaleNormal="205" workbookViewId="0">
      <selection activeCell="C10" sqref="C10:C11"/>
    </sheetView>
  </sheetViews>
  <sheetFormatPr defaultColWidth="8.90625" defaultRowHeight="14" x14ac:dyDescent="0.3"/>
  <cols>
    <col min="1" max="1" width="8.90625" style="1"/>
    <col min="2" max="2" width="12.81640625" style="1" customWidth="1"/>
    <col min="3" max="3" width="45.81640625" style="1" customWidth="1"/>
    <col min="4" max="5" width="12.81640625" style="1" customWidth="1"/>
    <col min="6" max="16384" width="8.90625" style="1"/>
  </cols>
  <sheetData>
    <row r="2" spans="2:5" x14ac:dyDescent="0.3">
      <c r="B2" s="9" t="s">
        <v>69</v>
      </c>
      <c r="C2" s="9"/>
      <c r="D2" s="11"/>
      <c r="E2" s="11"/>
    </row>
    <row r="3" spans="2:5" x14ac:dyDescent="0.3">
      <c r="B3" s="6" t="s">
        <v>75</v>
      </c>
      <c r="C3" s="6"/>
      <c r="D3" s="8"/>
      <c r="E3" s="8"/>
    </row>
    <row r="4" spans="2:5" ht="17" x14ac:dyDescent="0.3">
      <c r="B4" s="2" t="s">
        <v>55</v>
      </c>
      <c r="C4" s="27" t="s">
        <v>57</v>
      </c>
      <c r="D4" s="20">
        <f>Inputs!E21 * Inputs!E12 * Inputs!E4 / Inputs!E7</f>
        <v>0.4</v>
      </c>
      <c r="E4" s="21">
        <f>D4</f>
        <v>0.4</v>
      </c>
    </row>
    <row r="5" spans="2:5" ht="17" x14ac:dyDescent="0.3">
      <c r="B5" s="2" t="s">
        <v>56</v>
      </c>
      <c r="C5" s="27" t="s">
        <v>58</v>
      </c>
      <c r="D5" s="20">
        <f>D4 * Inputs!E25 * Inputs!E7 / Inputs!E5</f>
        <v>0.1</v>
      </c>
      <c r="E5" s="21">
        <f>D5</f>
        <v>0.1</v>
      </c>
    </row>
    <row r="6" spans="2:5" customFormat="1" ht="14.5" x14ac:dyDescent="0.35"/>
    <row r="7" spans="2:5" x14ac:dyDescent="0.3">
      <c r="B7" s="9" t="s">
        <v>71</v>
      </c>
      <c r="C7" s="9"/>
      <c r="D7" s="11"/>
      <c r="E7" s="11"/>
    </row>
    <row r="8" spans="2:5" x14ac:dyDescent="0.3">
      <c r="B8" s="6" t="s">
        <v>76</v>
      </c>
      <c r="C8" s="6"/>
      <c r="D8" s="8"/>
      <c r="E8" s="8"/>
    </row>
    <row r="9" spans="2:5" ht="17" x14ac:dyDescent="0.3">
      <c r="B9" s="2" t="s">
        <v>55</v>
      </c>
      <c r="C9" s="27" t="s">
        <v>59</v>
      </c>
      <c r="D9" s="20">
        <f>(Inputs!E19 * Inputs!E12 * Inputs!E4 / Inputs!E7) / (1 + Inputs!E13 * Inputs!E37 / Inputs!E35)</f>
        <v>6.6666666666666666E-2</v>
      </c>
      <c r="E9" s="21">
        <f>D9</f>
        <v>6.6666666666666666E-2</v>
      </c>
    </row>
    <row r="10" spans="2:5" ht="17" x14ac:dyDescent="0.3">
      <c r="B10" s="2" t="s">
        <v>61</v>
      </c>
      <c r="C10" s="27" t="s">
        <v>62</v>
      </c>
      <c r="D10" s="20">
        <f>1 - (D9 * Inputs!E25 * Inputs!E37)</f>
        <v>0.91666666666666663</v>
      </c>
      <c r="E10" s="22">
        <f t="shared" ref="E10:E11" si="0">D10</f>
        <v>0.91666666666666663</v>
      </c>
    </row>
    <row r="11" spans="2:5" ht="17" x14ac:dyDescent="0.3">
      <c r="B11" s="2" t="s">
        <v>56</v>
      </c>
      <c r="C11" s="27" t="s">
        <v>60</v>
      </c>
      <c r="D11" s="20">
        <f>D9 * Inputs!E25 * (Inputs!E7 / Inputs!E5) * D10</f>
        <v>1.5277777777777777E-2</v>
      </c>
      <c r="E11" s="21">
        <f t="shared" si="0"/>
        <v>1.5277777777777777E-2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2612-CA37-4618-909D-3F0BCCD9287B}">
  <dimension ref="B2:E12"/>
  <sheetViews>
    <sheetView showGridLines="0" zoomScale="107" zoomScaleNormal="205" workbookViewId="0">
      <selection activeCell="C13" sqref="C13"/>
    </sheetView>
  </sheetViews>
  <sheetFormatPr defaultColWidth="8.90625" defaultRowHeight="14" x14ac:dyDescent="0.3"/>
  <cols>
    <col min="1" max="1" width="8.90625" style="1"/>
    <col min="2" max="2" width="12.81640625" style="1" customWidth="1"/>
    <col min="3" max="3" width="35.81640625" style="1" customWidth="1"/>
    <col min="4" max="5" width="12.81640625" style="1" customWidth="1"/>
    <col min="6" max="16384" width="8.90625" style="1"/>
  </cols>
  <sheetData>
    <row r="2" spans="2:5" x14ac:dyDescent="0.3">
      <c r="B2" s="10" t="s">
        <v>69</v>
      </c>
      <c r="C2" s="9"/>
      <c r="D2" s="11"/>
      <c r="E2" s="11"/>
    </row>
    <row r="3" spans="2:5" x14ac:dyDescent="0.3">
      <c r="B3" s="7" t="s">
        <v>70</v>
      </c>
      <c r="C3" s="6"/>
      <c r="D3" s="8"/>
      <c r="E3" s="8"/>
    </row>
    <row r="4" spans="2:5" ht="17" x14ac:dyDescent="0.3">
      <c r="B4" s="2" t="s">
        <v>63</v>
      </c>
      <c r="C4" s="27" t="s">
        <v>64</v>
      </c>
      <c r="D4" s="20">
        <f>Inputs!E20 * Inputs!E14 * Inputs!E8 / Inputs!E4</f>
        <v>6.25E-2</v>
      </c>
      <c r="E4" s="21">
        <f>D4</f>
        <v>6.25E-2</v>
      </c>
    </row>
    <row r="5" spans="2:5" customFormat="1" ht="14.5" x14ac:dyDescent="0.35"/>
    <row r="6" spans="2:5" x14ac:dyDescent="0.3">
      <c r="B6" s="9" t="s">
        <v>71</v>
      </c>
      <c r="C6" s="9"/>
      <c r="D6" s="11"/>
      <c r="E6" s="11"/>
    </row>
    <row r="7" spans="2:5" x14ac:dyDescent="0.3">
      <c r="B7" s="6" t="s">
        <v>72</v>
      </c>
      <c r="C7" s="6"/>
      <c r="D7" s="8"/>
      <c r="E7" s="8"/>
    </row>
    <row r="8" spans="2:5" ht="17" x14ac:dyDescent="0.3">
      <c r="B8" s="2" t="s">
        <v>65</v>
      </c>
      <c r="C8" s="27" t="s">
        <v>66</v>
      </c>
      <c r="D8" s="20">
        <f>D4 - Inputs!E15 * Inputs!E6 / Inputs!E4</f>
        <v>-0.1875</v>
      </c>
      <c r="E8" s="21">
        <f>D8</f>
        <v>-0.1875</v>
      </c>
    </row>
    <row r="9" spans="2:5" customFormat="1" ht="14.5" x14ac:dyDescent="0.35"/>
    <row r="10" spans="2:5" x14ac:dyDescent="0.3">
      <c r="B10" s="9" t="s">
        <v>73</v>
      </c>
      <c r="C10" s="9"/>
      <c r="D10" s="11"/>
      <c r="E10" s="11"/>
    </row>
    <row r="11" spans="2:5" x14ac:dyDescent="0.3">
      <c r="B11" s="6" t="s">
        <v>74</v>
      </c>
      <c r="C11" s="6"/>
      <c r="D11" s="8"/>
      <c r="E11" s="8"/>
    </row>
    <row r="12" spans="2:5" ht="17" x14ac:dyDescent="0.3">
      <c r="B12" s="2" t="s">
        <v>67</v>
      </c>
      <c r="C12" s="27" t="s">
        <v>68</v>
      </c>
      <c r="D12" s="23">
        <f>D8 - Inputs!E38 * (Inputs!E15)^2 * Inputs!E6 / Inputs!E4</f>
        <v>-0.5</v>
      </c>
      <c r="E12" s="21">
        <f>D12</f>
        <v>-0.5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Inputs</vt:lpstr>
      <vt:lpstr>Elasticity_Estimates</vt:lpstr>
      <vt:lpstr>Upstream_Incentives</vt:lpstr>
      <vt:lpstr>Downstream_Incentives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Dabas</dc:creator>
  <cp:lastModifiedBy>Steven VanOmmeren</cp:lastModifiedBy>
  <dcterms:created xsi:type="dcterms:W3CDTF">2025-12-17T19:09:51Z</dcterms:created>
  <dcterms:modified xsi:type="dcterms:W3CDTF">2026-02-12T14:35:56Z</dcterms:modified>
</cp:coreProperties>
</file>